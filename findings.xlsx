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ndings" sheetId="2" state="visible" r:id="rId4"/>
    <sheet name="Reviewer Sign-off" sheetId="3" state="visible" r:id="rId5"/>
  </sheets>
  <definedNames>
    <definedName function="false" hidden="true" localSheetId="1" name="_xlnm._FilterDatabase" vbProcedure="false">Findings!$A$1:$J$61</definedName>
    <definedName function="false" hidden="true" localSheetId="2" name="_xlnm._FilterDatabase" vbProcedure="false">'Reviewer Sign-off'!$A$4:$J$64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<sst xmlns="http://schemas.openxmlformats.org/spreadsheetml/2006/main" count="1035" uniqueCount="252">
  <si>
    <t xml:space="preserve">User Access Review - Summary</t>
  </si>
  <si>
    <t xml:space="preserve">As-of date</t>
  </si>
  <si>
    <t xml:space="preserve">2026-10-12</t>
  </si>
  <si>
    <t xml:space="preserve">Accounts reviewed</t>
  </si>
  <si>
    <t xml:space="preserve">Count of rows in the input CSV (hardcoded by the script)</t>
  </si>
  <si>
    <t xml:space="preserve">Total findings</t>
  </si>
  <si>
    <t xml:space="preserve">Accounts with at least one finding</t>
  </si>
  <si>
    <t xml:space="preserve">% of accounts with findings</t>
  </si>
  <si>
    <t xml:space="preserve">Findings by severity</t>
  </si>
  <si>
    <t xml:space="preserve">Severity</t>
  </si>
  <si>
    <t xml:space="preserve">Count</t>
  </si>
  <si>
    <t xml:space="preserve">Critical</t>
  </si>
  <si>
    <t xml:space="preserve">High</t>
  </si>
  <si>
    <t xml:space="preserve">Medium</t>
  </si>
  <si>
    <t xml:space="preserve">Low</t>
  </si>
  <si>
    <t xml:space="preserve">Findings by rule and NIST control</t>
  </si>
  <si>
    <t xml:space="preserve">Rule ID</t>
  </si>
  <si>
    <t xml:space="preserve">Check</t>
  </si>
  <si>
    <t xml:space="preserve">NIST Control</t>
  </si>
  <si>
    <t xml:space="preserve">R01</t>
  </si>
  <si>
    <t xml:space="preserve">Inactive account still enabled</t>
  </si>
  <si>
    <t xml:space="preserve">AC-2(3)</t>
  </si>
  <si>
    <t xml:space="preserve">R02</t>
  </si>
  <si>
    <t xml:space="preserve">Terminated user still has an active account</t>
  </si>
  <si>
    <t xml:space="preserve">AC-2, PS-4</t>
  </si>
  <si>
    <t xml:space="preserve">R03</t>
  </si>
  <si>
    <t xml:space="preserve">Contractor account past expiry (or no expiry set)</t>
  </si>
  <si>
    <t xml:space="preserve">AC-2(2)</t>
  </si>
  <si>
    <t xml:space="preserve">R04</t>
  </si>
  <si>
    <t xml:space="preserve">Privileged access without recent justification</t>
  </si>
  <si>
    <t xml:space="preserve">AC-6, AC-6(7)</t>
  </si>
  <si>
    <t xml:space="preserve">R05</t>
  </si>
  <si>
    <t xml:space="preserve">Segregation-of-duties conflict</t>
  </si>
  <si>
    <t xml:space="preserve">AC-5</t>
  </si>
  <si>
    <t xml:space="preserve">R06</t>
  </si>
  <si>
    <t xml:space="preserve">Account has no manager or owner</t>
  </si>
  <si>
    <t xml:space="preserve">AC-2(b)</t>
  </si>
  <si>
    <t xml:space="preserve">R07</t>
  </si>
  <si>
    <t xml:space="preserve">Service account allows interactive login</t>
  </si>
  <si>
    <t xml:space="preserve">AC-2, IA-4</t>
  </si>
  <si>
    <t xml:space="preserve">R08</t>
  </si>
  <si>
    <t xml:space="preserve">Shared or generic account</t>
  </si>
  <si>
    <t xml:space="preserve">IA-2, AC-2(9)</t>
  </si>
  <si>
    <t xml:space="preserve">Finding ID</t>
  </si>
  <si>
    <t xml:space="preserve">Username</t>
  </si>
  <si>
    <t xml:space="preserve">Department</t>
  </si>
  <si>
    <t xml:space="preserve">Job Title</t>
  </si>
  <si>
    <t xml:space="preserve">Issue</t>
  </si>
  <si>
    <t xml:space="preserve">Detail</t>
  </si>
  <si>
    <t xml:space="preserve">Recommended Action</t>
  </si>
  <si>
    <t xml:space="preserve">F-0001</t>
  </si>
  <si>
    <t xml:space="preserve">drossi</t>
  </si>
  <si>
    <t xml:space="preserve">IT</t>
  </si>
  <si>
    <t xml:space="preserve">DevOps Engineer</t>
  </si>
  <si>
    <t xml:space="preserve">Terminated 2026-09-27 (15 days ago); account still enabled</t>
  </si>
  <si>
    <t xml:space="preserve">Disable immediately, revoke sessions and tokens, and investigate any logins after the termination date.</t>
  </si>
  <si>
    <t xml:space="preserve">F-0002</t>
  </si>
  <si>
    <t xml:space="preserve">mevans</t>
  </si>
  <si>
    <t xml:space="preserve">Finance</t>
  </si>
  <si>
    <t xml:space="preserve">AP Specialist</t>
  </si>
  <si>
    <t xml:space="preserve">Terminated 2026-07-23 (81 days ago); account still enabled</t>
  </si>
  <si>
    <t xml:space="preserve">F-0003</t>
  </si>
  <si>
    <t xml:space="preserve">mkhan2</t>
  </si>
  <si>
    <t xml:space="preserve">Legal</t>
  </si>
  <si>
    <t xml:space="preserve">Compliance Analyst</t>
  </si>
  <si>
    <t xml:space="preserve">Terminated 2026-10-05 (7 days ago); account still enabled</t>
  </si>
  <si>
    <t xml:space="preserve">F-0004</t>
  </si>
  <si>
    <t xml:space="preserve">mnguyen</t>
  </si>
  <si>
    <t xml:space="preserve">Terminated 2026-07-17 (87 days ago); account still enabled</t>
  </si>
  <si>
    <t xml:space="preserve">F-0005</t>
  </si>
  <si>
    <t xml:space="preserve">mokafor</t>
  </si>
  <si>
    <t xml:space="preserve">Operations</t>
  </si>
  <si>
    <t xml:space="preserve">Ops Analyst</t>
  </si>
  <si>
    <t xml:space="preserve">Terminated 2026-08-08 (65 days ago); account still enabled</t>
  </si>
  <si>
    <t xml:space="preserve">F-0006</t>
  </si>
  <si>
    <t xml:space="preserve">wmoreau</t>
  </si>
  <si>
    <t xml:space="preserve">HR</t>
  </si>
  <si>
    <t xml:space="preserve">HR Generalist</t>
  </si>
  <si>
    <t xml:space="preserve">Terminated 2026-09-10 (32 days ago); account still enabled</t>
  </si>
  <si>
    <t xml:space="preserve">F-0007</t>
  </si>
  <si>
    <t xml:space="preserve">amurphy</t>
  </si>
  <si>
    <t xml:space="preserve">Controller</t>
  </si>
  <si>
    <t xml:space="preserve">Holds conflicting groups: Payments Submitter + Payments Approver</t>
  </si>
  <si>
    <t xml:space="preserve">Remove one of the conflicting groups, or document a compensating control as an exception.</t>
  </si>
  <si>
    <t xml:space="preserve">F-0008</t>
  </si>
  <si>
    <t xml:space="preserve">amurphy2</t>
  </si>
  <si>
    <t xml:space="preserve">F-0009</t>
  </si>
  <si>
    <t xml:space="preserve">apatel</t>
  </si>
  <si>
    <t xml:space="preserve">Contractor - Help Desk Analyst</t>
  </si>
  <si>
    <t xml:space="preserve">Expired 2026-09-29 (13 days ago); still enabled</t>
  </si>
  <si>
    <t xml:space="preserve">Disable the account. Re-enable only with a new sponsor approval and a hard end date.</t>
  </si>
  <si>
    <t xml:space="preserve">F-0010</t>
  </si>
  <si>
    <t xml:space="preserve">brossi</t>
  </si>
  <si>
    <t xml:space="preserve">Expired 2026-08-19 (54 days ago); still enabled</t>
  </si>
  <si>
    <t xml:space="preserve">F-0011</t>
  </si>
  <si>
    <t xml:space="preserve">ckhan</t>
  </si>
  <si>
    <t xml:space="preserve">Sales</t>
  </si>
  <si>
    <t xml:space="preserve">Contractor - Account Executive</t>
  </si>
  <si>
    <t xml:space="preserve">Expired 2026-08-20 (53 days ago); still enabled</t>
  </si>
  <si>
    <t xml:space="preserve">F-0012</t>
  </si>
  <si>
    <t xml:space="preserve">dfischer</t>
  </si>
  <si>
    <t xml:space="preserve">Network Engineer</t>
  </si>
  <si>
    <t xml:space="preserve">Privilege last justified 2025-05-21 (509 days ago; limit 180)</t>
  </si>
  <si>
    <t xml:space="preserve">Ask the manager to re-justify the privilege. Remove it if not re-approved.</t>
  </si>
  <si>
    <t xml:space="preserve">F-0013</t>
  </si>
  <si>
    <t xml:space="preserve">emurphy</t>
  </si>
  <si>
    <t xml:space="preserve">Contractor - Systems Admin</t>
  </si>
  <si>
    <t xml:space="preserve">Contractor account has no expiry date set</t>
  </si>
  <si>
    <t xml:space="preserve">F-0014</t>
  </si>
  <si>
    <t xml:space="preserve">epatel2</t>
  </si>
  <si>
    <t xml:space="preserve">Accountant</t>
  </si>
  <si>
    <t xml:space="preserve">F-0015</t>
  </si>
  <si>
    <t xml:space="preserve">gnguyen</t>
  </si>
  <si>
    <t xml:space="preserve">Financial Analyst</t>
  </si>
  <si>
    <t xml:space="preserve">F-0016</t>
  </si>
  <si>
    <t xml:space="preserve">gsingh</t>
  </si>
  <si>
    <t xml:space="preserve">Contractor - Compliance Analyst</t>
  </si>
  <si>
    <t xml:space="preserve">Expired 2026-09-06 (36 days ago); still enabled</t>
  </si>
  <si>
    <t xml:space="preserve">F-0017</t>
  </si>
  <si>
    <t xml:space="preserve">hduarte</t>
  </si>
  <si>
    <t xml:space="preserve">Systems Admin</t>
  </si>
  <si>
    <t xml:space="preserve">Privileged access with no justification on record</t>
  </si>
  <si>
    <t xml:space="preserve">F-0018</t>
  </si>
  <si>
    <t xml:space="preserve">hhaddad</t>
  </si>
  <si>
    <t xml:space="preserve">Help Desk Analyst</t>
  </si>
  <si>
    <t xml:space="preserve">F-0019</t>
  </si>
  <si>
    <t xml:space="preserve">lalvarez</t>
  </si>
  <si>
    <t xml:space="preserve">Contractor - Project Manager</t>
  </si>
  <si>
    <t xml:space="preserve">Expired 2026-07-27 (77 days ago); still enabled</t>
  </si>
  <si>
    <t xml:space="preserve">F-0020</t>
  </si>
  <si>
    <t xml:space="preserve">lsingh</t>
  </si>
  <si>
    <t xml:space="preserve">Contractor - Ops Analyst</t>
  </si>
  <si>
    <t xml:space="preserve">Expired 2026-08-04 (69 days ago); still enabled</t>
  </si>
  <si>
    <t xml:space="preserve">F-0021</t>
  </si>
  <si>
    <t xml:space="preserve">mevans2</t>
  </si>
  <si>
    <t xml:space="preserve">Privilege last justified 2025-06-23 (476 days ago; limit 180)</t>
  </si>
  <si>
    <t xml:space="preserve">F-0022</t>
  </si>
  <si>
    <t xml:space="preserve">mreyes</t>
  </si>
  <si>
    <t xml:space="preserve">Contractor - Benefits Analyst</t>
  </si>
  <si>
    <t xml:space="preserve">Expired 2026-09-04 (38 days ago); still enabled</t>
  </si>
  <si>
    <t xml:space="preserve">F-0023</t>
  </si>
  <si>
    <t xml:space="preserve">nfischer</t>
  </si>
  <si>
    <t xml:space="preserve">F-0024</t>
  </si>
  <si>
    <t xml:space="preserve">nreyes</t>
  </si>
  <si>
    <t xml:space="preserve">F-0025</t>
  </si>
  <si>
    <t xml:space="preserve">rbrooks</t>
  </si>
  <si>
    <t xml:space="preserve">Contractor - Network Engineer</t>
  </si>
  <si>
    <t xml:space="preserve">F-0026</t>
  </si>
  <si>
    <t xml:space="preserve">rduarte</t>
  </si>
  <si>
    <t xml:space="preserve">Contractor - Logistics Coordinator</t>
  </si>
  <si>
    <t xml:space="preserve">Expired 2026-09-08 (34 days ago); still enabled</t>
  </si>
  <si>
    <t xml:space="preserve">F-0027</t>
  </si>
  <si>
    <t xml:space="preserve">rnguyen</t>
  </si>
  <si>
    <t xml:space="preserve">Privilege last justified 2025-05-09 (521 days ago; limit 180)</t>
  </si>
  <si>
    <t xml:space="preserve">F-0028</t>
  </si>
  <si>
    <t xml:space="preserve">rsingh</t>
  </si>
  <si>
    <t xml:space="preserve">Privilege last justified 2026-01-06 (279 days ago; limit 180)</t>
  </si>
  <si>
    <t xml:space="preserve">F-0029</t>
  </si>
  <si>
    <t xml:space="preserve">svc-backup</t>
  </si>
  <si>
    <t xml:space="preserve">Service account</t>
  </si>
  <si>
    <t xml:space="preserve">Service account has interactive login enabled</t>
  </si>
  <si>
    <t xml:space="preserve">Deny interactive logon for the account and store its credential in a vault.</t>
  </si>
  <si>
    <t xml:space="preserve">F-0030</t>
  </si>
  <si>
    <t xml:space="preserve">svc-etl</t>
  </si>
  <si>
    <t xml:space="preserve">F-0031</t>
  </si>
  <si>
    <t xml:space="preserve">svc-monitor</t>
  </si>
  <si>
    <t xml:space="preserve">F-0032</t>
  </si>
  <si>
    <t xml:space="preserve">svc-printsvc</t>
  </si>
  <si>
    <t xml:space="preserve">F-0033</t>
  </si>
  <si>
    <t xml:space="preserve">svc-sqlreport</t>
  </si>
  <si>
    <t xml:space="preserve">F-0034</t>
  </si>
  <si>
    <t xml:space="preserve">svc-webapp</t>
  </si>
  <si>
    <t xml:space="preserve">F-0035</t>
  </si>
  <si>
    <t xml:space="preserve">walvarez</t>
  </si>
  <si>
    <t xml:space="preserve">F-0036</t>
  </si>
  <si>
    <t xml:space="preserve">wmoreau2</t>
  </si>
  <si>
    <t xml:space="preserve">F-0037</t>
  </si>
  <si>
    <t xml:space="preserve">admin</t>
  </si>
  <si>
    <t xml:space="preserve">Shared account</t>
  </si>
  <si>
    <t xml:space="preserve">Account type is 'shared'</t>
  </si>
  <si>
    <t xml:space="preserve">Replace with named individual accounts, or restrict and log the account and record an approved exception.</t>
  </si>
  <si>
    <t xml:space="preserve">F-0038</t>
  </si>
  <si>
    <t xml:space="preserve">aokafor2</t>
  </si>
  <si>
    <t xml:space="preserve">Recruiter</t>
  </si>
  <si>
    <t xml:space="preserve">Manager/owner field is empty</t>
  </si>
  <si>
    <t xml:space="preserve">Assign an accountable manager or owner. Disable the account if none can be found.</t>
  </si>
  <si>
    <t xml:space="preserve">F-0039</t>
  </si>
  <si>
    <t xml:space="preserve">dokafor</t>
  </si>
  <si>
    <t xml:space="preserve">Last login 2026-01-10 (275 days ago)</t>
  </si>
  <si>
    <t xml:space="preserve">Disable the account. Delete after the retention period unless the owner objects.</t>
  </si>
  <si>
    <t xml:space="preserve">F-0040</t>
  </si>
  <si>
    <t xml:space="preserve">etanaka</t>
  </si>
  <si>
    <t xml:space="preserve">Project Manager</t>
  </si>
  <si>
    <t xml:space="preserve">No login on record; account is 2443 days old</t>
  </si>
  <si>
    <t xml:space="preserve">F-0041</t>
  </si>
  <si>
    <t xml:space="preserve">fkhan</t>
  </si>
  <si>
    <t xml:space="preserve">F-0042</t>
  </si>
  <si>
    <t xml:space="preserve">generic.scanner</t>
  </si>
  <si>
    <t xml:space="preserve">F-0043</t>
  </si>
  <si>
    <t xml:space="preserve">gnguyen2</t>
  </si>
  <si>
    <t xml:space="preserve">F-0044</t>
  </si>
  <si>
    <t xml:space="preserve">guest.wifi</t>
  </si>
  <si>
    <t xml:space="preserve">F-0045</t>
  </si>
  <si>
    <t xml:space="preserve">hpatel</t>
  </si>
  <si>
    <t xml:space="preserve">F-0046</t>
  </si>
  <si>
    <t xml:space="preserve">jrossi</t>
  </si>
  <si>
    <t xml:space="preserve">Benefits Analyst</t>
  </si>
  <si>
    <t xml:space="preserve">No login on record; account is 661 days old</t>
  </si>
  <si>
    <t xml:space="preserve">F-0047</t>
  </si>
  <si>
    <t xml:space="preserve">mduarte</t>
  </si>
  <si>
    <t xml:space="preserve">F-0048</t>
  </si>
  <si>
    <t xml:space="preserve">mkhan</t>
  </si>
  <si>
    <t xml:space="preserve">Last login 2025-10-15 (362 days ago)</t>
  </si>
  <si>
    <t xml:space="preserve">F-0049</t>
  </si>
  <si>
    <t xml:space="preserve">Last login 2026-07-13 (91 days ago)</t>
  </si>
  <si>
    <t xml:space="preserve">F-0050</t>
  </si>
  <si>
    <t xml:space="preserve">mreyes2</t>
  </si>
  <si>
    <t xml:space="preserve">F-0051</t>
  </si>
  <si>
    <t xml:space="preserve">mzhou</t>
  </si>
  <si>
    <t xml:space="preserve">Last login 2026-02-27 (227 days ago)</t>
  </si>
  <si>
    <t xml:space="preserve">F-0052</t>
  </si>
  <si>
    <t xml:space="preserve">nalvarez</t>
  </si>
  <si>
    <t xml:space="preserve">Last login 2026-01-28 (257 days ago)</t>
  </si>
  <si>
    <t xml:space="preserve">F-0053</t>
  </si>
  <si>
    <t xml:space="preserve">pokafor</t>
  </si>
  <si>
    <t xml:space="preserve">Last login 2026-03-03 (223 days ago)</t>
  </si>
  <si>
    <t xml:space="preserve">F-0054</t>
  </si>
  <si>
    <t xml:space="preserve">rhaddad</t>
  </si>
  <si>
    <t xml:space="preserve">Last login 2025-09-09 (398 days ago)</t>
  </si>
  <si>
    <t xml:space="preserve">F-0055</t>
  </si>
  <si>
    <t xml:space="preserve">rhaddad2</t>
  </si>
  <si>
    <t xml:space="preserve">F-0056</t>
  </si>
  <si>
    <t xml:space="preserve">rokafor</t>
  </si>
  <si>
    <t xml:space="preserve">Last login 2025-11-28 (318 days ago)</t>
  </si>
  <si>
    <t xml:space="preserve">F-0057</t>
  </si>
  <si>
    <t xml:space="preserve">shared.helpdesk</t>
  </si>
  <si>
    <t xml:space="preserve">F-0058</t>
  </si>
  <si>
    <t xml:space="preserve">tzhou</t>
  </si>
  <si>
    <t xml:space="preserve">Last login 2026-04-27 (168 days ago)</t>
  </si>
  <si>
    <t xml:space="preserve">F-0059</t>
  </si>
  <si>
    <t xml:space="preserve">wbrooks</t>
  </si>
  <si>
    <t xml:space="preserve">Last login 2025-12-26 (290 days ago)</t>
  </si>
  <si>
    <t xml:space="preserve">F-0060</t>
  </si>
  <si>
    <t xml:space="preserve">wmurphy</t>
  </si>
  <si>
    <t xml:space="preserve">Account Executive</t>
  </si>
  <si>
    <t xml:space="preserve">Last login 2025-12-01 (315 days ago)</t>
  </si>
  <si>
    <t xml:space="preserve">Reviewer Sign-off</t>
  </si>
  <si>
    <t xml:space="preserve">Yellow cells are for the reviewer. Decision options: Approve (keep access), Revoke (remove access), Exception (keep with documented approval).</t>
  </si>
  <si>
    <t xml:space="preserve">Decision</t>
  </si>
  <si>
    <t xml:space="preserve">Reviewer</t>
  </si>
  <si>
    <t xml:space="preserve">Decision Date</t>
  </si>
  <si>
    <t xml:space="preserve">Comments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</si>
</sst>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F4B183"/>
        <bgColor rgb="FFFF99CC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Findings by rule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Summary!E17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Summary!$A$18:$A$25</c:f>
              <c:strCache>
                <c:ptCount val="8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</c:strCache>
            </c:strRef>
          </c:cat>
          <c:val>
            <c:numRef>
              <c:f>Summary!$E$18:$E$25</c:f>
              <c:numCache>
                <c:formatCode>General</c:formatCode>
                <c:ptCount val="8"/>
                <c:pt idx="0">
                  <c:v>13</c:v>
                </c:pt>
                <c:pt idx="1">
                  <c:v>6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23509377"/>
        <c:axId val="80416620"/>
      </c:barChart>
      <c:catAx>
        <c:axId val="235093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16620"/>
        <c:crosses val="autoZero"/>
        <c:auto val="1"/>
        <c:lblAlgn val="ctr"/>
        <c:lblOffset val="100"/>
        <c:noMultiLvlLbl val="0"/>
      </c:catAx>
      <c:valAx>
        <c:axId val="80416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093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160560</xdr:rowOff>
    </xdr:from>
    <xdr:to>
      <xdr:col>14</xdr:col>
      <xdr:colOff>147600</xdr:colOff>
      <xdr:row>22</xdr:row>
      <xdr:rowOff>182520</xdr:rowOff>
    </xdr:to>
    <xdr:graphicFrame>
      <xdr:nvGraphicFramePr>
        <xdr:cNvPr id="0" name="Chart 1"/>
        <xdr:cNvGraphicFramePr/>
      </xdr:nvGraphicFramePr>
      <xdr:xfrm>
        <a:off x="9069840" y="1523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n">
        <v>200</v>
      </c>
      <c r="C4" s="4" t="s">
        <v>4</v>
      </c>
    </row>
    <row r="5" customFormat="false" ht="15" hidden="false" customHeight="false" outlineLevel="0" collapsed="false">
      <c r="A5" s="2" t="s">
        <v>5</v>
      </c>
      <c r="B5" s="3" t="n">
        <f aca="false">COUNTA(Findings!$A$2:$A$61)</f>
        <v>60</v>
      </c>
    </row>
    <row r="6" customFormat="false" ht="15" hidden="false" customHeight="false" outlineLevel="0" collapsed="false">
      <c r="A6" s="2" t="s">
        <v>6</v>
      </c>
      <c r="B6" s="3" t="n">
        <f aca="false">IFERROR(SUMPRODUCT(1/COUNTIF(Findings!$B$2:$B$61,Findings!$B$2:$B$61)),0)</f>
        <v>59</v>
      </c>
    </row>
    <row r="7" customFormat="false" ht="15" hidden="false" customHeight="false" outlineLevel="0" collapsed="false">
      <c r="A7" s="2" t="s">
        <v>7</v>
      </c>
      <c r="B7" s="5" t="n">
        <f aca="false">IFERROR(B6/B4,0)</f>
        <v>0.295</v>
      </c>
    </row>
    <row r="9" customFormat="false" ht="15" hidden="false" customHeight="false" outlineLevel="0" collapsed="false">
      <c r="A9" s="6" t="s">
        <v>8</v>
      </c>
    </row>
    <row r="10" customFormat="false" ht="15" hidden="false" customHeight="false" outlineLevel="0" collapsed="false">
      <c r="A10" s="7" t="s">
        <v>9</v>
      </c>
      <c r="B10" s="7" t="s">
        <v>10</v>
      </c>
    </row>
    <row r="11" customFormat="false" ht="15" hidden="false" customHeight="false" outlineLevel="0" collapsed="false">
      <c r="A11" s="8" t="s">
        <v>11</v>
      </c>
      <c r="B11" s="9" t="n">
        <f aca="false">COUNTIF(Findings!$H$2:$H$61,A11)</f>
        <v>6</v>
      </c>
    </row>
    <row r="12" customFormat="false" ht="15" hidden="false" customHeight="false" outlineLevel="0" collapsed="false">
      <c r="A12" s="10" t="s">
        <v>12</v>
      </c>
      <c r="B12" s="9" t="n">
        <f aca="false">COUNTIF(Findings!$H$2:$H$61,A12)</f>
        <v>30</v>
      </c>
    </row>
    <row r="13" customFormat="false" ht="15" hidden="false" customHeight="false" outlineLevel="0" collapsed="false">
      <c r="A13" s="11" t="s">
        <v>13</v>
      </c>
      <c r="B13" s="9" t="n">
        <f aca="false">COUNTIF(Findings!$H$2:$H$61,A13)</f>
        <v>24</v>
      </c>
    </row>
    <row r="14" customFormat="false" ht="15" hidden="false" customHeight="false" outlineLevel="0" collapsed="false">
      <c r="A14" s="12" t="s">
        <v>14</v>
      </c>
      <c r="B14" s="9" t="n">
        <f aca="false">COUNTIF(Findings!$H$2:$H$61,A14)</f>
        <v>0</v>
      </c>
    </row>
    <row r="16" customFormat="false" ht="15" hidden="false" customHeight="false" outlineLevel="0" collapsed="false">
      <c r="A16" s="6" t="s">
        <v>15</v>
      </c>
    </row>
    <row r="17" customFormat="false" ht="15" hidden="false" customHeight="false" outlineLevel="0" collapsed="false">
      <c r="A17" s="7" t="s">
        <v>16</v>
      </c>
      <c r="B17" s="7" t="s">
        <v>17</v>
      </c>
      <c r="C17" s="7" t="s">
        <v>9</v>
      </c>
      <c r="D17" s="7" t="s">
        <v>18</v>
      </c>
      <c r="E17" s="7" t="s">
        <v>10</v>
      </c>
    </row>
    <row r="18" customFormat="false" ht="15" hidden="false" customHeight="false" outlineLevel="0" collapsed="false">
      <c r="A18" s="13" t="s">
        <v>19</v>
      </c>
      <c r="B18" s="13" t="s">
        <v>20</v>
      </c>
      <c r="C18" s="13" t="s">
        <v>13</v>
      </c>
      <c r="D18" s="13" t="s">
        <v>21</v>
      </c>
      <c r="E18" s="13" t="n">
        <f aca="false">COUNTIF(Findings!$E$2:$E$61,A18)</f>
        <v>13</v>
      </c>
    </row>
    <row r="19" customFormat="false" ht="15" hidden="false" customHeight="false" outlineLevel="0" collapsed="false">
      <c r="A19" s="13" t="s">
        <v>22</v>
      </c>
      <c r="B19" s="13" t="s">
        <v>23</v>
      </c>
      <c r="C19" s="13" t="s">
        <v>11</v>
      </c>
      <c r="D19" s="13" t="s">
        <v>24</v>
      </c>
      <c r="E19" s="13" t="n">
        <f aca="false">COUNTIF(Findings!$E$2:$E$61,A19)</f>
        <v>6</v>
      </c>
    </row>
    <row r="20" customFormat="false" ht="15" hidden="false" customHeight="false" outlineLevel="0" collapsed="false">
      <c r="A20" s="13" t="s">
        <v>25</v>
      </c>
      <c r="B20" s="13" t="s">
        <v>26</v>
      </c>
      <c r="C20" s="13" t="s">
        <v>12</v>
      </c>
      <c r="D20" s="13" t="s">
        <v>27</v>
      </c>
      <c r="E20" s="13" t="n">
        <f aca="false">COUNTIF(Findings!$E$2:$E$61,A20)</f>
        <v>10</v>
      </c>
    </row>
    <row r="21" customFormat="false" ht="15" hidden="false" customHeight="false" outlineLevel="0" collapsed="false">
      <c r="A21" s="13" t="s">
        <v>28</v>
      </c>
      <c r="B21" s="13" t="s">
        <v>29</v>
      </c>
      <c r="C21" s="13" t="s">
        <v>12</v>
      </c>
      <c r="D21" s="13" t="s">
        <v>30</v>
      </c>
      <c r="E21" s="13" t="n">
        <f aca="false">COUNTIF(Findings!$E$2:$E$61,A21)</f>
        <v>8</v>
      </c>
    </row>
    <row r="22" customFormat="false" ht="15" hidden="false" customHeight="false" outlineLevel="0" collapsed="false">
      <c r="A22" s="13" t="s">
        <v>31</v>
      </c>
      <c r="B22" s="13" t="s">
        <v>32</v>
      </c>
      <c r="C22" s="13" t="s">
        <v>12</v>
      </c>
      <c r="D22" s="13" t="s">
        <v>33</v>
      </c>
      <c r="E22" s="13" t="n">
        <f aca="false">COUNTIF(Findings!$E$2:$E$61,A22)</f>
        <v>6</v>
      </c>
    </row>
    <row r="23" customFormat="false" ht="15" hidden="false" customHeight="false" outlineLevel="0" collapsed="false">
      <c r="A23" s="13" t="s">
        <v>34</v>
      </c>
      <c r="B23" s="13" t="s">
        <v>35</v>
      </c>
      <c r="C23" s="13" t="s">
        <v>13</v>
      </c>
      <c r="D23" s="13" t="s">
        <v>36</v>
      </c>
      <c r="E23" s="13" t="n">
        <f aca="false">COUNTIF(Findings!$E$2:$E$61,A23)</f>
        <v>7</v>
      </c>
    </row>
    <row r="24" customFormat="false" ht="15" hidden="false" customHeight="false" outlineLevel="0" collapsed="false">
      <c r="A24" s="13" t="s">
        <v>37</v>
      </c>
      <c r="B24" s="13" t="s">
        <v>38</v>
      </c>
      <c r="C24" s="13" t="s">
        <v>12</v>
      </c>
      <c r="D24" s="13" t="s">
        <v>39</v>
      </c>
      <c r="E24" s="13" t="n">
        <f aca="false">COUNTIF(Findings!$E$2:$E$61,A24)</f>
        <v>6</v>
      </c>
    </row>
    <row r="25" customFormat="false" ht="15" hidden="false" customHeight="false" outlineLevel="0" collapsed="false">
      <c r="A25" s="13" t="s">
        <v>40</v>
      </c>
      <c r="B25" s="13" t="s">
        <v>41</v>
      </c>
      <c r="C25" s="13" t="s">
        <v>13</v>
      </c>
      <c r="D25" s="13" t="s">
        <v>42</v>
      </c>
      <c r="E25" s="13" t="n">
        <f aca="false">COUNTIF(Findings!$E$2:$E$61,A25)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36"/>
    <col collapsed="false" customWidth="true" hidden="false" outlineLevel="0" max="7" min="7" style="0" width="4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60"/>
  </cols>
  <sheetData>
    <row r="1" customFormat="false" ht="26.85" hidden="false" customHeight="false" outlineLevel="0" collapsed="false">
      <c r="A1" s="7" t="s">
        <v>43</v>
      </c>
      <c r="B1" s="7" t="s">
        <v>44</v>
      </c>
      <c r="C1" s="7" t="s">
        <v>45</v>
      </c>
      <c r="D1" s="7" t="s">
        <v>46</v>
      </c>
      <c r="E1" s="7" t="s">
        <v>16</v>
      </c>
      <c r="F1" s="7" t="s">
        <v>47</v>
      </c>
      <c r="G1" s="7" t="s">
        <v>48</v>
      </c>
      <c r="H1" s="7" t="s">
        <v>9</v>
      </c>
      <c r="I1" s="7" t="s">
        <v>18</v>
      </c>
      <c r="J1" s="7" t="s">
        <v>49</v>
      </c>
    </row>
    <row r="2" customFormat="false" ht="23.85" hidden="false" customHeight="false" outlineLevel="0" collapsed="false">
      <c r="A2" s="14" t="s">
        <v>50</v>
      </c>
      <c r="B2" s="14" t="s">
        <v>51</v>
      </c>
      <c r="C2" s="14" t="s">
        <v>52</v>
      </c>
      <c r="D2" s="14" t="s">
        <v>53</v>
      </c>
      <c r="E2" s="14" t="s">
        <v>22</v>
      </c>
      <c r="F2" s="14" t="s">
        <v>23</v>
      </c>
      <c r="G2" s="14" t="s">
        <v>54</v>
      </c>
      <c r="H2" s="15" t="s">
        <v>11</v>
      </c>
      <c r="I2" s="14" t="s">
        <v>24</v>
      </c>
      <c r="J2" s="14" t="s">
        <v>55</v>
      </c>
    </row>
    <row r="3" customFormat="false" ht="23.85" hidden="false" customHeight="false" outlineLevel="0" collapsed="false">
      <c r="A3" s="14" t="s">
        <v>56</v>
      </c>
      <c r="B3" s="14" t="s">
        <v>57</v>
      </c>
      <c r="C3" s="14" t="s">
        <v>58</v>
      </c>
      <c r="D3" s="14" t="s">
        <v>59</v>
      </c>
      <c r="E3" s="14" t="s">
        <v>22</v>
      </c>
      <c r="F3" s="14" t="s">
        <v>23</v>
      </c>
      <c r="G3" s="14" t="s">
        <v>60</v>
      </c>
      <c r="H3" s="15" t="s">
        <v>11</v>
      </c>
      <c r="I3" s="14" t="s">
        <v>24</v>
      </c>
      <c r="J3" s="14" t="s">
        <v>55</v>
      </c>
    </row>
    <row r="4" customFormat="false" ht="23.85" hidden="false" customHeight="false" outlineLevel="0" collapsed="false">
      <c r="A4" s="14" t="s">
        <v>61</v>
      </c>
      <c r="B4" s="14" t="s">
        <v>62</v>
      </c>
      <c r="C4" s="14" t="s">
        <v>63</v>
      </c>
      <c r="D4" s="14" t="s">
        <v>64</v>
      </c>
      <c r="E4" s="14" t="s">
        <v>22</v>
      </c>
      <c r="F4" s="14" t="s">
        <v>23</v>
      </c>
      <c r="G4" s="14" t="s">
        <v>65</v>
      </c>
      <c r="H4" s="15" t="s">
        <v>11</v>
      </c>
      <c r="I4" s="14" t="s">
        <v>24</v>
      </c>
      <c r="J4" s="14" t="s">
        <v>55</v>
      </c>
    </row>
    <row r="5" customFormat="false" ht="23.85" hidden="false" customHeight="false" outlineLevel="0" collapsed="false">
      <c r="A5" s="14" t="s">
        <v>66</v>
      </c>
      <c r="B5" s="14" t="s">
        <v>67</v>
      </c>
      <c r="C5" s="14" t="s">
        <v>63</v>
      </c>
      <c r="D5" s="14" t="s">
        <v>64</v>
      </c>
      <c r="E5" s="14" t="s">
        <v>22</v>
      </c>
      <c r="F5" s="14" t="s">
        <v>23</v>
      </c>
      <c r="G5" s="14" t="s">
        <v>68</v>
      </c>
      <c r="H5" s="15" t="s">
        <v>11</v>
      </c>
      <c r="I5" s="14" t="s">
        <v>24</v>
      </c>
      <c r="J5" s="14" t="s">
        <v>55</v>
      </c>
    </row>
    <row r="6" customFormat="false" ht="23.85" hidden="false" customHeight="false" outlineLevel="0" collapsed="false">
      <c r="A6" s="14" t="s">
        <v>69</v>
      </c>
      <c r="B6" s="14" t="s">
        <v>70</v>
      </c>
      <c r="C6" s="14" t="s">
        <v>71</v>
      </c>
      <c r="D6" s="14" t="s">
        <v>72</v>
      </c>
      <c r="E6" s="14" t="s">
        <v>22</v>
      </c>
      <c r="F6" s="14" t="s">
        <v>23</v>
      </c>
      <c r="G6" s="14" t="s">
        <v>73</v>
      </c>
      <c r="H6" s="15" t="s">
        <v>11</v>
      </c>
      <c r="I6" s="14" t="s">
        <v>24</v>
      </c>
      <c r="J6" s="14" t="s">
        <v>55</v>
      </c>
    </row>
    <row r="7" customFormat="false" ht="23.85" hidden="false" customHeight="false" outlineLevel="0" collapsed="false">
      <c r="A7" s="14" t="s">
        <v>74</v>
      </c>
      <c r="B7" s="14" t="s">
        <v>75</v>
      </c>
      <c r="C7" s="14" t="s">
        <v>76</v>
      </c>
      <c r="D7" s="14" t="s">
        <v>77</v>
      </c>
      <c r="E7" s="14" t="s">
        <v>22</v>
      </c>
      <c r="F7" s="14" t="s">
        <v>23</v>
      </c>
      <c r="G7" s="14" t="s">
        <v>78</v>
      </c>
      <c r="H7" s="15" t="s">
        <v>11</v>
      </c>
      <c r="I7" s="14" t="s">
        <v>24</v>
      </c>
      <c r="J7" s="14" t="s">
        <v>55</v>
      </c>
    </row>
    <row r="8" customFormat="false" ht="23.85" hidden="false" customHeight="false" outlineLevel="0" collapsed="false">
      <c r="A8" s="14" t="s">
        <v>79</v>
      </c>
      <c r="B8" s="14" t="s">
        <v>80</v>
      </c>
      <c r="C8" s="14" t="s">
        <v>58</v>
      </c>
      <c r="D8" s="14" t="s">
        <v>81</v>
      </c>
      <c r="E8" s="14" t="s">
        <v>31</v>
      </c>
      <c r="F8" s="14" t="s">
        <v>32</v>
      </c>
      <c r="G8" s="14" t="s">
        <v>82</v>
      </c>
      <c r="H8" s="16" t="s">
        <v>12</v>
      </c>
      <c r="I8" s="14" t="s">
        <v>33</v>
      </c>
      <c r="J8" s="14" t="s">
        <v>83</v>
      </c>
    </row>
    <row r="9" customFormat="false" ht="23.85" hidden="false" customHeight="false" outlineLevel="0" collapsed="false">
      <c r="A9" s="14" t="s">
        <v>84</v>
      </c>
      <c r="B9" s="14" t="s">
        <v>85</v>
      </c>
      <c r="C9" s="14" t="s">
        <v>58</v>
      </c>
      <c r="D9" s="14" t="s">
        <v>59</v>
      </c>
      <c r="E9" s="14" t="s">
        <v>31</v>
      </c>
      <c r="F9" s="14" t="s">
        <v>32</v>
      </c>
      <c r="G9" s="14" t="s">
        <v>82</v>
      </c>
      <c r="H9" s="16" t="s">
        <v>12</v>
      </c>
      <c r="I9" s="14" t="s">
        <v>33</v>
      </c>
      <c r="J9" s="14" t="s">
        <v>83</v>
      </c>
    </row>
    <row r="10" customFormat="false" ht="23.85" hidden="false" customHeight="false" outlineLevel="0" collapsed="false">
      <c r="A10" s="14" t="s">
        <v>86</v>
      </c>
      <c r="B10" s="14" t="s">
        <v>87</v>
      </c>
      <c r="C10" s="14" t="s">
        <v>52</v>
      </c>
      <c r="D10" s="14" t="s">
        <v>88</v>
      </c>
      <c r="E10" s="14" t="s">
        <v>25</v>
      </c>
      <c r="F10" s="14" t="s">
        <v>26</v>
      </c>
      <c r="G10" s="14" t="s">
        <v>89</v>
      </c>
      <c r="H10" s="16" t="s">
        <v>12</v>
      </c>
      <c r="I10" s="14" t="s">
        <v>27</v>
      </c>
      <c r="J10" s="14" t="s">
        <v>90</v>
      </c>
    </row>
    <row r="11" customFormat="false" ht="23.85" hidden="false" customHeight="false" outlineLevel="0" collapsed="false">
      <c r="A11" s="14" t="s">
        <v>91</v>
      </c>
      <c r="B11" s="14" t="s">
        <v>92</v>
      </c>
      <c r="C11" s="14" t="s">
        <v>52</v>
      </c>
      <c r="D11" s="14" t="s">
        <v>88</v>
      </c>
      <c r="E11" s="14" t="s">
        <v>25</v>
      </c>
      <c r="F11" s="14" t="s">
        <v>26</v>
      </c>
      <c r="G11" s="14" t="s">
        <v>93</v>
      </c>
      <c r="H11" s="16" t="s">
        <v>12</v>
      </c>
      <c r="I11" s="14" t="s">
        <v>27</v>
      </c>
      <c r="J11" s="14" t="s">
        <v>90</v>
      </c>
    </row>
    <row r="12" customFormat="false" ht="23.85" hidden="false" customHeight="false" outlineLevel="0" collapsed="false">
      <c r="A12" s="14" t="s">
        <v>94</v>
      </c>
      <c r="B12" s="14" t="s">
        <v>95</v>
      </c>
      <c r="C12" s="14" t="s">
        <v>96</v>
      </c>
      <c r="D12" s="14" t="s">
        <v>97</v>
      </c>
      <c r="E12" s="14" t="s">
        <v>25</v>
      </c>
      <c r="F12" s="14" t="s">
        <v>26</v>
      </c>
      <c r="G12" s="14" t="s">
        <v>98</v>
      </c>
      <c r="H12" s="16" t="s">
        <v>12</v>
      </c>
      <c r="I12" s="14" t="s">
        <v>27</v>
      </c>
      <c r="J12" s="14" t="s">
        <v>90</v>
      </c>
    </row>
    <row r="13" customFormat="false" ht="15" hidden="false" customHeight="false" outlineLevel="0" collapsed="false">
      <c r="A13" s="14" t="s">
        <v>99</v>
      </c>
      <c r="B13" s="14" t="s">
        <v>100</v>
      </c>
      <c r="C13" s="14" t="s">
        <v>52</v>
      </c>
      <c r="D13" s="14" t="s">
        <v>101</v>
      </c>
      <c r="E13" s="14" t="s">
        <v>28</v>
      </c>
      <c r="F13" s="14" t="s">
        <v>29</v>
      </c>
      <c r="G13" s="14" t="s">
        <v>102</v>
      </c>
      <c r="H13" s="16" t="s">
        <v>12</v>
      </c>
      <c r="I13" s="14" t="s">
        <v>30</v>
      </c>
      <c r="J13" s="14" t="s">
        <v>103</v>
      </c>
    </row>
    <row r="14" customFormat="false" ht="23.85" hidden="false" customHeight="false" outlineLevel="0" collapsed="false">
      <c r="A14" s="14" t="s">
        <v>104</v>
      </c>
      <c r="B14" s="14" t="s">
        <v>105</v>
      </c>
      <c r="C14" s="14" t="s">
        <v>52</v>
      </c>
      <c r="D14" s="14" t="s">
        <v>106</v>
      </c>
      <c r="E14" s="14" t="s">
        <v>25</v>
      </c>
      <c r="F14" s="14" t="s">
        <v>26</v>
      </c>
      <c r="G14" s="14" t="s">
        <v>107</v>
      </c>
      <c r="H14" s="16" t="s">
        <v>12</v>
      </c>
      <c r="I14" s="14" t="s">
        <v>27</v>
      </c>
      <c r="J14" s="14" t="s">
        <v>90</v>
      </c>
    </row>
    <row r="15" customFormat="false" ht="23.85" hidden="false" customHeight="false" outlineLevel="0" collapsed="false">
      <c r="A15" s="14" t="s">
        <v>108</v>
      </c>
      <c r="B15" s="14" t="s">
        <v>109</v>
      </c>
      <c r="C15" s="14" t="s">
        <v>58</v>
      </c>
      <c r="D15" s="14" t="s">
        <v>110</v>
      </c>
      <c r="E15" s="14" t="s">
        <v>31</v>
      </c>
      <c r="F15" s="14" t="s">
        <v>32</v>
      </c>
      <c r="G15" s="14" t="s">
        <v>82</v>
      </c>
      <c r="H15" s="16" t="s">
        <v>12</v>
      </c>
      <c r="I15" s="14" t="s">
        <v>33</v>
      </c>
      <c r="J15" s="14" t="s">
        <v>83</v>
      </c>
    </row>
    <row r="16" customFormat="false" ht="23.85" hidden="false" customHeight="false" outlineLevel="0" collapsed="false">
      <c r="A16" s="14" t="s">
        <v>111</v>
      </c>
      <c r="B16" s="14" t="s">
        <v>112</v>
      </c>
      <c r="C16" s="14" t="s">
        <v>58</v>
      </c>
      <c r="D16" s="14" t="s">
        <v>113</v>
      </c>
      <c r="E16" s="14" t="s">
        <v>31</v>
      </c>
      <c r="F16" s="14" t="s">
        <v>32</v>
      </c>
      <c r="G16" s="14" t="s">
        <v>82</v>
      </c>
      <c r="H16" s="16" t="s">
        <v>12</v>
      </c>
      <c r="I16" s="14" t="s">
        <v>33</v>
      </c>
      <c r="J16" s="14" t="s">
        <v>83</v>
      </c>
    </row>
    <row r="17" customFormat="false" ht="23.85" hidden="false" customHeight="false" outlineLevel="0" collapsed="false">
      <c r="A17" s="14" t="s">
        <v>114</v>
      </c>
      <c r="B17" s="14" t="s">
        <v>115</v>
      </c>
      <c r="C17" s="14" t="s">
        <v>63</v>
      </c>
      <c r="D17" s="14" t="s">
        <v>116</v>
      </c>
      <c r="E17" s="14" t="s">
        <v>25</v>
      </c>
      <c r="F17" s="14" t="s">
        <v>26</v>
      </c>
      <c r="G17" s="14" t="s">
        <v>117</v>
      </c>
      <c r="H17" s="16" t="s">
        <v>12</v>
      </c>
      <c r="I17" s="14" t="s">
        <v>27</v>
      </c>
      <c r="J17" s="14" t="s">
        <v>90</v>
      </c>
    </row>
    <row r="18" customFormat="false" ht="15" hidden="false" customHeight="false" outlineLevel="0" collapsed="false">
      <c r="A18" s="14" t="s">
        <v>118</v>
      </c>
      <c r="B18" s="14" t="s">
        <v>119</v>
      </c>
      <c r="C18" s="14" t="s">
        <v>52</v>
      </c>
      <c r="D18" s="14" t="s">
        <v>120</v>
      </c>
      <c r="E18" s="14" t="s">
        <v>28</v>
      </c>
      <c r="F18" s="14" t="s">
        <v>29</v>
      </c>
      <c r="G18" s="14" t="s">
        <v>121</v>
      </c>
      <c r="H18" s="16" t="s">
        <v>12</v>
      </c>
      <c r="I18" s="14" t="s">
        <v>30</v>
      </c>
      <c r="J18" s="14" t="s">
        <v>103</v>
      </c>
    </row>
    <row r="19" customFormat="false" ht="15" hidden="false" customHeight="false" outlineLevel="0" collapsed="false">
      <c r="A19" s="14" t="s">
        <v>122</v>
      </c>
      <c r="B19" s="14" t="s">
        <v>123</v>
      </c>
      <c r="C19" s="14" t="s">
        <v>52</v>
      </c>
      <c r="D19" s="14" t="s">
        <v>124</v>
      </c>
      <c r="E19" s="14" t="s">
        <v>28</v>
      </c>
      <c r="F19" s="14" t="s">
        <v>29</v>
      </c>
      <c r="G19" s="14" t="s">
        <v>121</v>
      </c>
      <c r="H19" s="16" t="s">
        <v>12</v>
      </c>
      <c r="I19" s="14" t="s">
        <v>30</v>
      </c>
      <c r="J19" s="14" t="s">
        <v>103</v>
      </c>
    </row>
    <row r="20" customFormat="false" ht="23.85" hidden="false" customHeight="false" outlineLevel="0" collapsed="false">
      <c r="A20" s="14" t="s">
        <v>125</v>
      </c>
      <c r="B20" s="14" t="s">
        <v>126</v>
      </c>
      <c r="C20" s="14" t="s">
        <v>71</v>
      </c>
      <c r="D20" s="14" t="s">
        <v>127</v>
      </c>
      <c r="E20" s="14" t="s">
        <v>25</v>
      </c>
      <c r="F20" s="14" t="s">
        <v>26</v>
      </c>
      <c r="G20" s="14" t="s">
        <v>128</v>
      </c>
      <c r="H20" s="16" t="s">
        <v>12</v>
      </c>
      <c r="I20" s="14" t="s">
        <v>27</v>
      </c>
      <c r="J20" s="14" t="s">
        <v>90</v>
      </c>
    </row>
    <row r="21" customFormat="false" ht="23.85" hidden="false" customHeight="false" outlineLevel="0" collapsed="false">
      <c r="A21" s="14" t="s">
        <v>129</v>
      </c>
      <c r="B21" s="14" t="s">
        <v>130</v>
      </c>
      <c r="C21" s="14" t="s">
        <v>71</v>
      </c>
      <c r="D21" s="14" t="s">
        <v>131</v>
      </c>
      <c r="E21" s="14" t="s">
        <v>25</v>
      </c>
      <c r="F21" s="14" t="s">
        <v>26</v>
      </c>
      <c r="G21" s="14" t="s">
        <v>132</v>
      </c>
      <c r="H21" s="16" t="s">
        <v>12</v>
      </c>
      <c r="I21" s="14" t="s">
        <v>27</v>
      </c>
      <c r="J21" s="14" t="s">
        <v>90</v>
      </c>
    </row>
    <row r="22" customFormat="false" ht="15" hidden="false" customHeight="false" outlineLevel="0" collapsed="false">
      <c r="A22" s="14" t="s">
        <v>133</v>
      </c>
      <c r="B22" s="14" t="s">
        <v>134</v>
      </c>
      <c r="C22" s="14" t="s">
        <v>52</v>
      </c>
      <c r="D22" s="14" t="s">
        <v>120</v>
      </c>
      <c r="E22" s="14" t="s">
        <v>28</v>
      </c>
      <c r="F22" s="14" t="s">
        <v>29</v>
      </c>
      <c r="G22" s="14" t="s">
        <v>135</v>
      </c>
      <c r="H22" s="16" t="s">
        <v>12</v>
      </c>
      <c r="I22" s="14" t="s">
        <v>30</v>
      </c>
      <c r="J22" s="14" t="s">
        <v>103</v>
      </c>
    </row>
    <row r="23" customFormat="false" ht="23.85" hidden="false" customHeight="false" outlineLevel="0" collapsed="false">
      <c r="A23" s="14" t="s">
        <v>136</v>
      </c>
      <c r="B23" s="14" t="s">
        <v>137</v>
      </c>
      <c r="C23" s="14" t="s">
        <v>76</v>
      </c>
      <c r="D23" s="14" t="s">
        <v>138</v>
      </c>
      <c r="E23" s="14" t="s">
        <v>25</v>
      </c>
      <c r="F23" s="14" t="s">
        <v>26</v>
      </c>
      <c r="G23" s="14" t="s">
        <v>139</v>
      </c>
      <c r="H23" s="16" t="s">
        <v>12</v>
      </c>
      <c r="I23" s="14" t="s">
        <v>27</v>
      </c>
      <c r="J23" s="14" t="s">
        <v>90</v>
      </c>
    </row>
    <row r="24" customFormat="false" ht="23.85" hidden="false" customHeight="false" outlineLevel="0" collapsed="false">
      <c r="A24" s="14" t="s">
        <v>140</v>
      </c>
      <c r="B24" s="14" t="s">
        <v>141</v>
      </c>
      <c r="C24" s="14" t="s">
        <v>58</v>
      </c>
      <c r="D24" s="14" t="s">
        <v>110</v>
      </c>
      <c r="E24" s="14" t="s">
        <v>31</v>
      </c>
      <c r="F24" s="14" t="s">
        <v>32</v>
      </c>
      <c r="G24" s="14" t="s">
        <v>82</v>
      </c>
      <c r="H24" s="16" t="s">
        <v>12</v>
      </c>
      <c r="I24" s="14" t="s">
        <v>33</v>
      </c>
      <c r="J24" s="14" t="s">
        <v>83</v>
      </c>
    </row>
    <row r="25" customFormat="false" ht="23.85" hidden="false" customHeight="false" outlineLevel="0" collapsed="false">
      <c r="A25" s="14" t="s">
        <v>142</v>
      </c>
      <c r="B25" s="14" t="s">
        <v>143</v>
      </c>
      <c r="C25" s="14" t="s">
        <v>58</v>
      </c>
      <c r="D25" s="14" t="s">
        <v>81</v>
      </c>
      <c r="E25" s="14" t="s">
        <v>31</v>
      </c>
      <c r="F25" s="14" t="s">
        <v>32</v>
      </c>
      <c r="G25" s="14" t="s">
        <v>82</v>
      </c>
      <c r="H25" s="16" t="s">
        <v>12</v>
      </c>
      <c r="I25" s="14" t="s">
        <v>33</v>
      </c>
      <c r="J25" s="14" t="s">
        <v>83</v>
      </c>
    </row>
    <row r="26" customFormat="false" ht="23.85" hidden="false" customHeight="false" outlineLevel="0" collapsed="false">
      <c r="A26" s="14" t="s">
        <v>144</v>
      </c>
      <c r="B26" s="14" t="s">
        <v>145</v>
      </c>
      <c r="C26" s="14" t="s">
        <v>52</v>
      </c>
      <c r="D26" s="14" t="s">
        <v>146</v>
      </c>
      <c r="E26" s="14" t="s">
        <v>25</v>
      </c>
      <c r="F26" s="14" t="s">
        <v>26</v>
      </c>
      <c r="G26" s="14" t="s">
        <v>107</v>
      </c>
      <c r="H26" s="16" t="s">
        <v>12</v>
      </c>
      <c r="I26" s="14" t="s">
        <v>27</v>
      </c>
      <c r="J26" s="14" t="s">
        <v>90</v>
      </c>
    </row>
    <row r="27" customFormat="false" ht="23.85" hidden="false" customHeight="false" outlineLevel="0" collapsed="false">
      <c r="A27" s="14" t="s">
        <v>147</v>
      </c>
      <c r="B27" s="14" t="s">
        <v>148</v>
      </c>
      <c r="C27" s="14" t="s">
        <v>71</v>
      </c>
      <c r="D27" s="14" t="s">
        <v>149</v>
      </c>
      <c r="E27" s="14" t="s">
        <v>25</v>
      </c>
      <c r="F27" s="14" t="s">
        <v>26</v>
      </c>
      <c r="G27" s="14" t="s">
        <v>150</v>
      </c>
      <c r="H27" s="16" t="s">
        <v>12</v>
      </c>
      <c r="I27" s="14" t="s">
        <v>27</v>
      </c>
      <c r="J27" s="14" t="s">
        <v>90</v>
      </c>
    </row>
    <row r="28" customFormat="false" ht="15" hidden="false" customHeight="false" outlineLevel="0" collapsed="false">
      <c r="A28" s="14" t="s">
        <v>151</v>
      </c>
      <c r="B28" s="14" t="s">
        <v>152</v>
      </c>
      <c r="C28" s="14" t="s">
        <v>52</v>
      </c>
      <c r="D28" s="14" t="s">
        <v>101</v>
      </c>
      <c r="E28" s="14" t="s">
        <v>28</v>
      </c>
      <c r="F28" s="14" t="s">
        <v>29</v>
      </c>
      <c r="G28" s="14" t="s">
        <v>153</v>
      </c>
      <c r="H28" s="16" t="s">
        <v>12</v>
      </c>
      <c r="I28" s="14" t="s">
        <v>30</v>
      </c>
      <c r="J28" s="14" t="s">
        <v>103</v>
      </c>
    </row>
    <row r="29" customFormat="false" ht="15" hidden="false" customHeight="false" outlineLevel="0" collapsed="false">
      <c r="A29" s="14" t="s">
        <v>154</v>
      </c>
      <c r="B29" s="14" t="s">
        <v>155</v>
      </c>
      <c r="C29" s="14" t="s">
        <v>52</v>
      </c>
      <c r="D29" s="14" t="s">
        <v>120</v>
      </c>
      <c r="E29" s="14" t="s">
        <v>28</v>
      </c>
      <c r="F29" s="14" t="s">
        <v>29</v>
      </c>
      <c r="G29" s="14" t="s">
        <v>156</v>
      </c>
      <c r="H29" s="16" t="s">
        <v>12</v>
      </c>
      <c r="I29" s="14" t="s">
        <v>30</v>
      </c>
      <c r="J29" s="14" t="s">
        <v>103</v>
      </c>
    </row>
    <row r="30" customFormat="false" ht="15" hidden="false" customHeight="false" outlineLevel="0" collapsed="false">
      <c r="A30" s="14" t="s">
        <v>157</v>
      </c>
      <c r="B30" s="14" t="s">
        <v>158</v>
      </c>
      <c r="C30" s="14" t="s">
        <v>52</v>
      </c>
      <c r="D30" s="14" t="s">
        <v>159</v>
      </c>
      <c r="E30" s="14" t="s">
        <v>37</v>
      </c>
      <c r="F30" s="14" t="s">
        <v>38</v>
      </c>
      <c r="G30" s="14" t="s">
        <v>160</v>
      </c>
      <c r="H30" s="16" t="s">
        <v>12</v>
      </c>
      <c r="I30" s="14" t="s">
        <v>39</v>
      </c>
      <c r="J30" s="14" t="s">
        <v>161</v>
      </c>
    </row>
    <row r="31" customFormat="false" ht="15" hidden="false" customHeight="false" outlineLevel="0" collapsed="false">
      <c r="A31" s="14" t="s">
        <v>162</v>
      </c>
      <c r="B31" s="14" t="s">
        <v>163</v>
      </c>
      <c r="C31" s="14" t="s">
        <v>52</v>
      </c>
      <c r="D31" s="14" t="s">
        <v>159</v>
      </c>
      <c r="E31" s="14" t="s">
        <v>37</v>
      </c>
      <c r="F31" s="14" t="s">
        <v>38</v>
      </c>
      <c r="G31" s="14" t="s">
        <v>160</v>
      </c>
      <c r="H31" s="16" t="s">
        <v>12</v>
      </c>
      <c r="I31" s="14" t="s">
        <v>39</v>
      </c>
      <c r="J31" s="14" t="s">
        <v>161</v>
      </c>
    </row>
    <row r="32" customFormat="false" ht="15" hidden="false" customHeight="false" outlineLevel="0" collapsed="false">
      <c r="A32" s="14" t="s">
        <v>164</v>
      </c>
      <c r="B32" s="14" t="s">
        <v>165</v>
      </c>
      <c r="C32" s="14" t="s">
        <v>52</v>
      </c>
      <c r="D32" s="14" t="s">
        <v>159</v>
      </c>
      <c r="E32" s="14" t="s">
        <v>37</v>
      </c>
      <c r="F32" s="14" t="s">
        <v>38</v>
      </c>
      <c r="G32" s="14" t="s">
        <v>160</v>
      </c>
      <c r="H32" s="16" t="s">
        <v>12</v>
      </c>
      <c r="I32" s="14" t="s">
        <v>39</v>
      </c>
      <c r="J32" s="14" t="s">
        <v>161</v>
      </c>
    </row>
    <row r="33" customFormat="false" ht="15" hidden="false" customHeight="false" outlineLevel="0" collapsed="false">
      <c r="A33" s="14" t="s">
        <v>166</v>
      </c>
      <c r="B33" s="14" t="s">
        <v>167</v>
      </c>
      <c r="C33" s="14" t="s">
        <v>52</v>
      </c>
      <c r="D33" s="14" t="s">
        <v>159</v>
      </c>
      <c r="E33" s="14" t="s">
        <v>37</v>
      </c>
      <c r="F33" s="14" t="s">
        <v>38</v>
      </c>
      <c r="G33" s="14" t="s">
        <v>160</v>
      </c>
      <c r="H33" s="16" t="s">
        <v>12</v>
      </c>
      <c r="I33" s="14" t="s">
        <v>39</v>
      </c>
      <c r="J33" s="14" t="s">
        <v>161</v>
      </c>
    </row>
    <row r="34" customFormat="false" ht="15" hidden="false" customHeight="false" outlineLevel="0" collapsed="false">
      <c r="A34" s="14" t="s">
        <v>168</v>
      </c>
      <c r="B34" s="14" t="s">
        <v>169</v>
      </c>
      <c r="C34" s="14" t="s">
        <v>52</v>
      </c>
      <c r="D34" s="14" t="s">
        <v>159</v>
      </c>
      <c r="E34" s="14" t="s">
        <v>37</v>
      </c>
      <c r="F34" s="14" t="s">
        <v>38</v>
      </c>
      <c r="G34" s="14" t="s">
        <v>160</v>
      </c>
      <c r="H34" s="16" t="s">
        <v>12</v>
      </c>
      <c r="I34" s="14" t="s">
        <v>39</v>
      </c>
      <c r="J34" s="14" t="s">
        <v>161</v>
      </c>
    </row>
    <row r="35" customFormat="false" ht="15" hidden="false" customHeight="false" outlineLevel="0" collapsed="false">
      <c r="A35" s="14" t="s">
        <v>170</v>
      </c>
      <c r="B35" s="14" t="s">
        <v>171</v>
      </c>
      <c r="C35" s="14" t="s">
        <v>52</v>
      </c>
      <c r="D35" s="14" t="s">
        <v>159</v>
      </c>
      <c r="E35" s="14" t="s">
        <v>37</v>
      </c>
      <c r="F35" s="14" t="s">
        <v>38</v>
      </c>
      <c r="G35" s="14" t="s">
        <v>160</v>
      </c>
      <c r="H35" s="16" t="s">
        <v>12</v>
      </c>
      <c r="I35" s="14" t="s">
        <v>39</v>
      </c>
      <c r="J35" s="14" t="s">
        <v>161</v>
      </c>
    </row>
    <row r="36" customFormat="false" ht="15" hidden="false" customHeight="false" outlineLevel="0" collapsed="false">
      <c r="A36" s="14" t="s">
        <v>172</v>
      </c>
      <c r="B36" s="14" t="s">
        <v>173</v>
      </c>
      <c r="C36" s="14" t="s">
        <v>52</v>
      </c>
      <c r="D36" s="14" t="s">
        <v>53</v>
      </c>
      <c r="E36" s="14" t="s">
        <v>28</v>
      </c>
      <c r="F36" s="14" t="s">
        <v>29</v>
      </c>
      <c r="G36" s="14" t="s">
        <v>121</v>
      </c>
      <c r="H36" s="16" t="s">
        <v>12</v>
      </c>
      <c r="I36" s="14" t="s">
        <v>30</v>
      </c>
      <c r="J36" s="14" t="s">
        <v>103</v>
      </c>
    </row>
    <row r="37" customFormat="false" ht="15" hidden="false" customHeight="false" outlineLevel="0" collapsed="false">
      <c r="A37" s="14" t="s">
        <v>174</v>
      </c>
      <c r="B37" s="14" t="s">
        <v>175</v>
      </c>
      <c r="C37" s="14" t="s">
        <v>52</v>
      </c>
      <c r="D37" s="14" t="s">
        <v>120</v>
      </c>
      <c r="E37" s="14" t="s">
        <v>28</v>
      </c>
      <c r="F37" s="14" t="s">
        <v>29</v>
      </c>
      <c r="G37" s="14" t="s">
        <v>121</v>
      </c>
      <c r="H37" s="16" t="s">
        <v>12</v>
      </c>
      <c r="I37" s="14" t="s">
        <v>30</v>
      </c>
      <c r="J37" s="14" t="s">
        <v>103</v>
      </c>
    </row>
    <row r="38" customFormat="false" ht="23.85" hidden="false" customHeight="false" outlineLevel="0" collapsed="false">
      <c r="A38" s="14" t="s">
        <v>176</v>
      </c>
      <c r="B38" s="14" t="s">
        <v>177</v>
      </c>
      <c r="C38" s="14" t="s">
        <v>52</v>
      </c>
      <c r="D38" s="14" t="s">
        <v>178</v>
      </c>
      <c r="E38" s="14" t="s">
        <v>40</v>
      </c>
      <c r="F38" s="14" t="s">
        <v>41</v>
      </c>
      <c r="G38" s="14" t="s">
        <v>179</v>
      </c>
      <c r="H38" s="17" t="s">
        <v>13</v>
      </c>
      <c r="I38" s="14" t="s">
        <v>42</v>
      </c>
      <c r="J38" s="14" t="s">
        <v>180</v>
      </c>
    </row>
    <row r="39" customFormat="false" ht="23.85" hidden="false" customHeight="false" outlineLevel="0" collapsed="false">
      <c r="A39" s="14" t="s">
        <v>181</v>
      </c>
      <c r="B39" s="14" t="s">
        <v>182</v>
      </c>
      <c r="C39" s="14" t="s">
        <v>76</v>
      </c>
      <c r="D39" s="14" t="s">
        <v>183</v>
      </c>
      <c r="E39" s="14" t="s">
        <v>34</v>
      </c>
      <c r="F39" s="14" t="s">
        <v>35</v>
      </c>
      <c r="G39" s="14" t="s">
        <v>184</v>
      </c>
      <c r="H39" s="17" t="s">
        <v>13</v>
      </c>
      <c r="I39" s="14" t="s">
        <v>36</v>
      </c>
      <c r="J39" s="14" t="s">
        <v>185</v>
      </c>
    </row>
    <row r="40" customFormat="false" ht="23.85" hidden="false" customHeight="false" outlineLevel="0" collapsed="false">
      <c r="A40" s="14" t="s">
        <v>186</v>
      </c>
      <c r="B40" s="14" t="s">
        <v>187</v>
      </c>
      <c r="C40" s="14" t="s">
        <v>52</v>
      </c>
      <c r="D40" s="14" t="s">
        <v>101</v>
      </c>
      <c r="E40" s="14" t="s">
        <v>19</v>
      </c>
      <c r="F40" s="14" t="s">
        <v>20</v>
      </c>
      <c r="G40" s="14" t="s">
        <v>188</v>
      </c>
      <c r="H40" s="17" t="s">
        <v>13</v>
      </c>
      <c r="I40" s="14" t="s">
        <v>21</v>
      </c>
      <c r="J40" s="14" t="s">
        <v>189</v>
      </c>
    </row>
    <row r="41" customFormat="false" ht="23.85" hidden="false" customHeight="false" outlineLevel="0" collapsed="false">
      <c r="A41" s="14" t="s">
        <v>190</v>
      </c>
      <c r="B41" s="14" t="s">
        <v>191</v>
      </c>
      <c r="C41" s="14" t="s">
        <v>71</v>
      </c>
      <c r="D41" s="14" t="s">
        <v>192</v>
      </c>
      <c r="E41" s="14" t="s">
        <v>19</v>
      </c>
      <c r="F41" s="14" t="s">
        <v>20</v>
      </c>
      <c r="G41" s="14" t="s">
        <v>193</v>
      </c>
      <c r="H41" s="17" t="s">
        <v>13</v>
      </c>
      <c r="I41" s="14" t="s">
        <v>21</v>
      </c>
      <c r="J41" s="14" t="s">
        <v>189</v>
      </c>
    </row>
    <row r="42" customFormat="false" ht="23.85" hidden="false" customHeight="false" outlineLevel="0" collapsed="false">
      <c r="A42" s="14" t="s">
        <v>194</v>
      </c>
      <c r="B42" s="14" t="s">
        <v>195</v>
      </c>
      <c r="C42" s="14" t="s">
        <v>52</v>
      </c>
      <c r="D42" s="14" t="s">
        <v>101</v>
      </c>
      <c r="E42" s="14" t="s">
        <v>34</v>
      </c>
      <c r="F42" s="14" t="s">
        <v>35</v>
      </c>
      <c r="G42" s="14" t="s">
        <v>184</v>
      </c>
      <c r="H42" s="17" t="s">
        <v>13</v>
      </c>
      <c r="I42" s="14" t="s">
        <v>36</v>
      </c>
      <c r="J42" s="14" t="s">
        <v>185</v>
      </c>
    </row>
    <row r="43" customFormat="false" ht="23.85" hidden="false" customHeight="false" outlineLevel="0" collapsed="false">
      <c r="A43" s="14" t="s">
        <v>196</v>
      </c>
      <c r="B43" s="14" t="s">
        <v>197</v>
      </c>
      <c r="C43" s="14" t="s">
        <v>52</v>
      </c>
      <c r="D43" s="14" t="s">
        <v>178</v>
      </c>
      <c r="E43" s="14" t="s">
        <v>40</v>
      </c>
      <c r="F43" s="14" t="s">
        <v>41</v>
      </c>
      <c r="G43" s="14" t="s">
        <v>179</v>
      </c>
      <c r="H43" s="17" t="s">
        <v>13</v>
      </c>
      <c r="I43" s="14" t="s">
        <v>42</v>
      </c>
      <c r="J43" s="14" t="s">
        <v>180</v>
      </c>
    </row>
    <row r="44" customFormat="false" ht="23.85" hidden="false" customHeight="false" outlineLevel="0" collapsed="false">
      <c r="A44" s="14" t="s">
        <v>198</v>
      </c>
      <c r="B44" s="14" t="s">
        <v>199</v>
      </c>
      <c r="C44" s="14" t="s">
        <v>58</v>
      </c>
      <c r="D44" s="14" t="s">
        <v>113</v>
      </c>
      <c r="E44" s="14" t="s">
        <v>34</v>
      </c>
      <c r="F44" s="14" t="s">
        <v>35</v>
      </c>
      <c r="G44" s="14" t="s">
        <v>184</v>
      </c>
      <c r="H44" s="17" t="s">
        <v>13</v>
      </c>
      <c r="I44" s="14" t="s">
        <v>36</v>
      </c>
      <c r="J44" s="14" t="s">
        <v>185</v>
      </c>
    </row>
    <row r="45" customFormat="false" ht="23.85" hidden="false" customHeight="false" outlineLevel="0" collapsed="false">
      <c r="A45" s="14" t="s">
        <v>200</v>
      </c>
      <c r="B45" s="14" t="s">
        <v>201</v>
      </c>
      <c r="C45" s="14" t="s">
        <v>52</v>
      </c>
      <c r="D45" s="14" t="s">
        <v>178</v>
      </c>
      <c r="E45" s="14" t="s">
        <v>40</v>
      </c>
      <c r="F45" s="14" t="s">
        <v>41</v>
      </c>
      <c r="G45" s="14" t="s">
        <v>179</v>
      </c>
      <c r="H45" s="17" t="s">
        <v>13</v>
      </c>
      <c r="I45" s="14" t="s">
        <v>42</v>
      </c>
      <c r="J45" s="14" t="s">
        <v>180</v>
      </c>
    </row>
    <row r="46" customFormat="false" ht="23.85" hidden="false" customHeight="false" outlineLevel="0" collapsed="false">
      <c r="A46" s="14" t="s">
        <v>202</v>
      </c>
      <c r="B46" s="14" t="s">
        <v>203</v>
      </c>
      <c r="C46" s="14" t="s">
        <v>58</v>
      </c>
      <c r="D46" s="14" t="s">
        <v>113</v>
      </c>
      <c r="E46" s="14" t="s">
        <v>34</v>
      </c>
      <c r="F46" s="14" t="s">
        <v>35</v>
      </c>
      <c r="G46" s="14" t="s">
        <v>184</v>
      </c>
      <c r="H46" s="17" t="s">
        <v>13</v>
      </c>
      <c r="I46" s="14" t="s">
        <v>36</v>
      </c>
      <c r="J46" s="14" t="s">
        <v>185</v>
      </c>
    </row>
    <row r="47" customFormat="false" ht="23.85" hidden="false" customHeight="false" outlineLevel="0" collapsed="false">
      <c r="A47" s="14" t="s">
        <v>204</v>
      </c>
      <c r="B47" s="14" t="s">
        <v>205</v>
      </c>
      <c r="C47" s="14" t="s">
        <v>76</v>
      </c>
      <c r="D47" s="14" t="s">
        <v>206</v>
      </c>
      <c r="E47" s="14" t="s">
        <v>19</v>
      </c>
      <c r="F47" s="14" t="s">
        <v>20</v>
      </c>
      <c r="G47" s="14" t="s">
        <v>207</v>
      </c>
      <c r="H47" s="17" t="s">
        <v>13</v>
      </c>
      <c r="I47" s="14" t="s">
        <v>21</v>
      </c>
      <c r="J47" s="14" t="s">
        <v>189</v>
      </c>
    </row>
    <row r="48" customFormat="false" ht="23.85" hidden="false" customHeight="false" outlineLevel="0" collapsed="false">
      <c r="A48" s="14" t="s">
        <v>208</v>
      </c>
      <c r="B48" s="14" t="s">
        <v>209</v>
      </c>
      <c r="C48" s="14" t="s">
        <v>76</v>
      </c>
      <c r="D48" s="14" t="s">
        <v>206</v>
      </c>
      <c r="E48" s="14" t="s">
        <v>34</v>
      </c>
      <c r="F48" s="14" t="s">
        <v>35</v>
      </c>
      <c r="G48" s="14" t="s">
        <v>184</v>
      </c>
      <c r="H48" s="17" t="s">
        <v>13</v>
      </c>
      <c r="I48" s="14" t="s">
        <v>36</v>
      </c>
      <c r="J48" s="14" t="s">
        <v>185</v>
      </c>
    </row>
    <row r="49" customFormat="false" ht="23.85" hidden="false" customHeight="false" outlineLevel="0" collapsed="false">
      <c r="A49" s="14" t="s">
        <v>210</v>
      </c>
      <c r="B49" s="14" t="s">
        <v>211</v>
      </c>
      <c r="C49" s="14" t="s">
        <v>63</v>
      </c>
      <c r="D49" s="14" t="s">
        <v>64</v>
      </c>
      <c r="E49" s="14" t="s">
        <v>19</v>
      </c>
      <c r="F49" s="14" t="s">
        <v>20</v>
      </c>
      <c r="G49" s="14" t="s">
        <v>212</v>
      </c>
      <c r="H49" s="17" t="s">
        <v>13</v>
      </c>
      <c r="I49" s="14" t="s">
        <v>21</v>
      </c>
      <c r="J49" s="14" t="s">
        <v>189</v>
      </c>
    </row>
    <row r="50" customFormat="false" ht="23.85" hidden="false" customHeight="false" outlineLevel="0" collapsed="false">
      <c r="A50" s="14" t="s">
        <v>213</v>
      </c>
      <c r="B50" s="14" t="s">
        <v>67</v>
      </c>
      <c r="C50" s="14" t="s">
        <v>63</v>
      </c>
      <c r="D50" s="14" t="s">
        <v>64</v>
      </c>
      <c r="E50" s="14" t="s">
        <v>19</v>
      </c>
      <c r="F50" s="14" t="s">
        <v>20</v>
      </c>
      <c r="G50" s="14" t="s">
        <v>214</v>
      </c>
      <c r="H50" s="17" t="s">
        <v>13</v>
      </c>
      <c r="I50" s="14" t="s">
        <v>21</v>
      </c>
      <c r="J50" s="14" t="s">
        <v>189</v>
      </c>
    </row>
    <row r="51" customFormat="false" ht="23.85" hidden="false" customHeight="false" outlineLevel="0" collapsed="false">
      <c r="A51" s="14" t="s">
        <v>215</v>
      </c>
      <c r="B51" s="14" t="s">
        <v>216</v>
      </c>
      <c r="C51" s="14" t="s">
        <v>52</v>
      </c>
      <c r="D51" s="14" t="s">
        <v>120</v>
      </c>
      <c r="E51" s="14" t="s">
        <v>34</v>
      </c>
      <c r="F51" s="14" t="s">
        <v>35</v>
      </c>
      <c r="G51" s="14" t="s">
        <v>184</v>
      </c>
      <c r="H51" s="17" t="s">
        <v>13</v>
      </c>
      <c r="I51" s="14" t="s">
        <v>36</v>
      </c>
      <c r="J51" s="14" t="s">
        <v>185</v>
      </c>
    </row>
    <row r="52" customFormat="false" ht="23.85" hidden="false" customHeight="false" outlineLevel="0" collapsed="false">
      <c r="A52" s="14" t="s">
        <v>217</v>
      </c>
      <c r="B52" s="14" t="s">
        <v>218</v>
      </c>
      <c r="C52" s="14" t="s">
        <v>76</v>
      </c>
      <c r="D52" s="14" t="s">
        <v>183</v>
      </c>
      <c r="E52" s="14" t="s">
        <v>19</v>
      </c>
      <c r="F52" s="14" t="s">
        <v>20</v>
      </c>
      <c r="G52" s="14" t="s">
        <v>219</v>
      </c>
      <c r="H52" s="17" t="s">
        <v>13</v>
      </c>
      <c r="I52" s="14" t="s">
        <v>21</v>
      </c>
      <c r="J52" s="14" t="s">
        <v>189</v>
      </c>
    </row>
    <row r="53" customFormat="false" ht="23.85" hidden="false" customHeight="false" outlineLevel="0" collapsed="false">
      <c r="A53" s="14" t="s">
        <v>220</v>
      </c>
      <c r="B53" s="14" t="s">
        <v>221</v>
      </c>
      <c r="C53" s="14" t="s">
        <v>76</v>
      </c>
      <c r="D53" s="14" t="s">
        <v>206</v>
      </c>
      <c r="E53" s="14" t="s">
        <v>19</v>
      </c>
      <c r="F53" s="14" t="s">
        <v>20</v>
      </c>
      <c r="G53" s="14" t="s">
        <v>222</v>
      </c>
      <c r="H53" s="17" t="s">
        <v>13</v>
      </c>
      <c r="I53" s="14" t="s">
        <v>21</v>
      </c>
      <c r="J53" s="14" t="s">
        <v>189</v>
      </c>
    </row>
    <row r="54" customFormat="false" ht="23.85" hidden="false" customHeight="false" outlineLevel="0" collapsed="false">
      <c r="A54" s="14" t="s">
        <v>223</v>
      </c>
      <c r="B54" s="14" t="s">
        <v>224</v>
      </c>
      <c r="C54" s="14" t="s">
        <v>52</v>
      </c>
      <c r="D54" s="14" t="s">
        <v>53</v>
      </c>
      <c r="E54" s="14" t="s">
        <v>19</v>
      </c>
      <c r="F54" s="14" t="s">
        <v>20</v>
      </c>
      <c r="G54" s="14" t="s">
        <v>225</v>
      </c>
      <c r="H54" s="17" t="s">
        <v>13</v>
      </c>
      <c r="I54" s="14" t="s">
        <v>21</v>
      </c>
      <c r="J54" s="14" t="s">
        <v>189</v>
      </c>
    </row>
    <row r="55" customFormat="false" ht="23.85" hidden="false" customHeight="false" outlineLevel="0" collapsed="false">
      <c r="A55" s="14" t="s">
        <v>226</v>
      </c>
      <c r="B55" s="14" t="s">
        <v>227</v>
      </c>
      <c r="C55" s="14" t="s">
        <v>58</v>
      </c>
      <c r="D55" s="14" t="s">
        <v>110</v>
      </c>
      <c r="E55" s="14" t="s">
        <v>19</v>
      </c>
      <c r="F55" s="14" t="s">
        <v>20</v>
      </c>
      <c r="G55" s="14" t="s">
        <v>228</v>
      </c>
      <c r="H55" s="17" t="s">
        <v>13</v>
      </c>
      <c r="I55" s="14" t="s">
        <v>21</v>
      </c>
      <c r="J55" s="14" t="s">
        <v>189</v>
      </c>
    </row>
    <row r="56" customFormat="false" ht="23.85" hidden="false" customHeight="false" outlineLevel="0" collapsed="false">
      <c r="A56" s="14" t="s">
        <v>229</v>
      </c>
      <c r="B56" s="14" t="s">
        <v>230</v>
      </c>
      <c r="C56" s="14" t="s">
        <v>76</v>
      </c>
      <c r="D56" s="14" t="s">
        <v>183</v>
      </c>
      <c r="E56" s="14" t="s">
        <v>34</v>
      </c>
      <c r="F56" s="14" t="s">
        <v>35</v>
      </c>
      <c r="G56" s="14" t="s">
        <v>184</v>
      </c>
      <c r="H56" s="17" t="s">
        <v>13</v>
      </c>
      <c r="I56" s="14" t="s">
        <v>36</v>
      </c>
      <c r="J56" s="14" t="s">
        <v>185</v>
      </c>
    </row>
    <row r="57" customFormat="false" ht="23.85" hidden="false" customHeight="false" outlineLevel="0" collapsed="false">
      <c r="A57" s="14" t="s">
        <v>231</v>
      </c>
      <c r="B57" s="14" t="s">
        <v>232</v>
      </c>
      <c r="C57" s="14" t="s">
        <v>58</v>
      </c>
      <c r="D57" s="14" t="s">
        <v>113</v>
      </c>
      <c r="E57" s="14" t="s">
        <v>19</v>
      </c>
      <c r="F57" s="14" t="s">
        <v>20</v>
      </c>
      <c r="G57" s="14" t="s">
        <v>233</v>
      </c>
      <c r="H57" s="17" t="s">
        <v>13</v>
      </c>
      <c r="I57" s="14" t="s">
        <v>21</v>
      </c>
      <c r="J57" s="14" t="s">
        <v>189</v>
      </c>
    </row>
    <row r="58" customFormat="false" ht="23.85" hidden="false" customHeight="false" outlineLevel="0" collapsed="false">
      <c r="A58" s="14" t="s">
        <v>234</v>
      </c>
      <c r="B58" s="14" t="s">
        <v>235</v>
      </c>
      <c r="C58" s="14" t="s">
        <v>52</v>
      </c>
      <c r="D58" s="14" t="s">
        <v>178</v>
      </c>
      <c r="E58" s="14" t="s">
        <v>40</v>
      </c>
      <c r="F58" s="14" t="s">
        <v>41</v>
      </c>
      <c r="G58" s="14" t="s">
        <v>179</v>
      </c>
      <c r="H58" s="17" t="s">
        <v>13</v>
      </c>
      <c r="I58" s="14" t="s">
        <v>42</v>
      </c>
      <c r="J58" s="14" t="s">
        <v>180</v>
      </c>
    </row>
    <row r="59" customFormat="false" ht="23.85" hidden="false" customHeight="false" outlineLevel="0" collapsed="false">
      <c r="A59" s="14" t="s">
        <v>236</v>
      </c>
      <c r="B59" s="14" t="s">
        <v>237</v>
      </c>
      <c r="C59" s="14" t="s">
        <v>58</v>
      </c>
      <c r="D59" s="14" t="s">
        <v>113</v>
      </c>
      <c r="E59" s="14" t="s">
        <v>19</v>
      </c>
      <c r="F59" s="14" t="s">
        <v>20</v>
      </c>
      <c r="G59" s="14" t="s">
        <v>238</v>
      </c>
      <c r="H59" s="17" t="s">
        <v>13</v>
      </c>
      <c r="I59" s="14" t="s">
        <v>21</v>
      </c>
      <c r="J59" s="14" t="s">
        <v>189</v>
      </c>
    </row>
    <row r="60" customFormat="false" ht="23.85" hidden="false" customHeight="false" outlineLevel="0" collapsed="false">
      <c r="A60" s="14" t="s">
        <v>239</v>
      </c>
      <c r="B60" s="14" t="s">
        <v>240</v>
      </c>
      <c r="C60" s="14" t="s">
        <v>71</v>
      </c>
      <c r="D60" s="14" t="s">
        <v>192</v>
      </c>
      <c r="E60" s="14" t="s">
        <v>19</v>
      </c>
      <c r="F60" s="14" t="s">
        <v>20</v>
      </c>
      <c r="G60" s="14" t="s">
        <v>241</v>
      </c>
      <c r="H60" s="17" t="s">
        <v>13</v>
      </c>
      <c r="I60" s="14" t="s">
        <v>21</v>
      </c>
      <c r="J60" s="14" t="s">
        <v>189</v>
      </c>
    </row>
    <row r="61" customFormat="false" ht="23.85" hidden="false" customHeight="false" outlineLevel="0" collapsed="false">
      <c r="A61" s="14" t="s">
        <v>242</v>
      </c>
      <c r="B61" s="14" t="s">
        <v>243</v>
      </c>
      <c r="C61" s="14" t="s">
        <v>96</v>
      </c>
      <c r="D61" s="14" t="s">
        <v>244</v>
      </c>
      <c r="E61" s="14" t="s">
        <v>19</v>
      </c>
      <c r="F61" s="14" t="s">
        <v>20</v>
      </c>
      <c r="G61" s="14" t="s">
        <v>245</v>
      </c>
      <c r="H61" s="17" t="s">
        <v>13</v>
      </c>
      <c r="I61" s="14" t="s">
        <v>21</v>
      </c>
      <c r="J61" s="14" t="s">
        <v>189</v>
      </c>
    </row>
  </sheetData>
  <autoFilter ref="A1:J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18" t="s">
        <v>247</v>
      </c>
    </row>
    <row r="4" customFormat="false" ht="26.85" hidden="false" customHeight="false" outlineLevel="0" collapsed="false">
      <c r="A4" s="7" t="s">
        <v>43</v>
      </c>
      <c r="B4" s="7" t="s">
        <v>44</v>
      </c>
      <c r="C4" s="7" t="s">
        <v>47</v>
      </c>
      <c r="D4" s="7" t="s">
        <v>9</v>
      </c>
      <c r="E4" s="7" t="s">
        <v>18</v>
      </c>
      <c r="F4" s="7" t="s">
        <v>49</v>
      </c>
      <c r="G4" s="7" t="s">
        <v>248</v>
      </c>
      <c r="H4" s="7" t="s">
        <v>249</v>
      </c>
      <c r="I4" s="7" t="s">
        <v>250</v>
      </c>
      <c r="J4" s="7" t="s">
        <v>251</v>
      </c>
    </row>
    <row r="5" customFormat="false" ht="23.85" hidden="false" customHeight="false" outlineLevel="0" collapsed="false">
      <c r="A5" s="14" t="s">
        <v>50</v>
      </c>
      <c r="B5" s="14" t="s">
        <v>51</v>
      </c>
      <c r="C5" s="14" t="s">
        <v>23</v>
      </c>
      <c r="D5" s="14" t="s">
        <v>11</v>
      </c>
      <c r="E5" s="14" t="s">
        <v>24</v>
      </c>
      <c r="F5" s="14" t="s">
        <v>55</v>
      </c>
      <c r="G5" s="19"/>
      <c r="H5" s="19"/>
      <c r="I5" s="20"/>
      <c r="J5" s="19"/>
    </row>
    <row r="6" customFormat="false" ht="23.85" hidden="false" customHeight="false" outlineLevel="0" collapsed="false">
      <c r="A6" s="14" t="s">
        <v>56</v>
      </c>
      <c r="B6" s="14" t="s">
        <v>57</v>
      </c>
      <c r="C6" s="14" t="s">
        <v>23</v>
      </c>
      <c r="D6" s="14" t="s">
        <v>11</v>
      </c>
      <c r="E6" s="14" t="s">
        <v>24</v>
      </c>
      <c r="F6" s="14" t="s">
        <v>55</v>
      </c>
      <c r="G6" s="19"/>
      <c r="H6" s="19"/>
      <c r="I6" s="20"/>
      <c r="J6" s="19"/>
    </row>
    <row r="7" customFormat="false" ht="23.85" hidden="false" customHeight="false" outlineLevel="0" collapsed="false">
      <c r="A7" s="14" t="s">
        <v>61</v>
      </c>
      <c r="B7" s="14" t="s">
        <v>62</v>
      </c>
      <c r="C7" s="14" t="s">
        <v>23</v>
      </c>
      <c r="D7" s="14" t="s">
        <v>11</v>
      </c>
      <c r="E7" s="14" t="s">
        <v>24</v>
      </c>
      <c r="F7" s="14" t="s">
        <v>55</v>
      </c>
      <c r="G7" s="19"/>
      <c r="H7" s="19"/>
      <c r="I7" s="20"/>
      <c r="J7" s="19"/>
    </row>
    <row r="8" customFormat="false" ht="23.85" hidden="false" customHeight="false" outlineLevel="0" collapsed="false">
      <c r="A8" s="14" t="s">
        <v>66</v>
      </c>
      <c r="B8" s="14" t="s">
        <v>67</v>
      </c>
      <c r="C8" s="14" t="s">
        <v>23</v>
      </c>
      <c r="D8" s="14" t="s">
        <v>11</v>
      </c>
      <c r="E8" s="14" t="s">
        <v>24</v>
      </c>
      <c r="F8" s="14" t="s">
        <v>55</v>
      </c>
      <c r="G8" s="19"/>
      <c r="H8" s="19"/>
      <c r="I8" s="20"/>
      <c r="J8" s="19"/>
    </row>
    <row r="9" customFormat="false" ht="23.85" hidden="false" customHeight="false" outlineLevel="0" collapsed="false">
      <c r="A9" s="14" t="s">
        <v>69</v>
      </c>
      <c r="B9" s="14" t="s">
        <v>70</v>
      </c>
      <c r="C9" s="14" t="s">
        <v>23</v>
      </c>
      <c r="D9" s="14" t="s">
        <v>11</v>
      </c>
      <c r="E9" s="14" t="s">
        <v>24</v>
      </c>
      <c r="F9" s="14" t="s">
        <v>55</v>
      </c>
      <c r="G9" s="19"/>
      <c r="H9" s="19"/>
      <c r="I9" s="20"/>
      <c r="J9" s="19"/>
    </row>
    <row r="10" customFormat="false" ht="23.85" hidden="false" customHeight="false" outlineLevel="0" collapsed="false">
      <c r="A10" s="14" t="s">
        <v>74</v>
      </c>
      <c r="B10" s="14" t="s">
        <v>75</v>
      </c>
      <c r="C10" s="14" t="s">
        <v>23</v>
      </c>
      <c r="D10" s="14" t="s">
        <v>11</v>
      </c>
      <c r="E10" s="14" t="s">
        <v>24</v>
      </c>
      <c r="F10" s="14" t="s">
        <v>55</v>
      </c>
      <c r="G10" s="19"/>
      <c r="H10" s="19"/>
      <c r="I10" s="20"/>
      <c r="J10" s="19"/>
    </row>
    <row r="11" customFormat="false" ht="23.85" hidden="false" customHeight="false" outlineLevel="0" collapsed="false">
      <c r="A11" s="14" t="s">
        <v>79</v>
      </c>
      <c r="B11" s="14" t="s">
        <v>80</v>
      </c>
      <c r="C11" s="14" t="s">
        <v>32</v>
      </c>
      <c r="D11" s="14" t="s">
        <v>12</v>
      </c>
      <c r="E11" s="14" t="s">
        <v>33</v>
      </c>
      <c r="F11" s="14" t="s">
        <v>83</v>
      </c>
      <c r="G11" s="19"/>
      <c r="H11" s="19"/>
      <c r="I11" s="20"/>
      <c r="J11" s="19"/>
    </row>
    <row r="12" customFormat="false" ht="23.85" hidden="false" customHeight="false" outlineLevel="0" collapsed="false">
      <c r="A12" s="14" t="s">
        <v>84</v>
      </c>
      <c r="B12" s="14" t="s">
        <v>85</v>
      </c>
      <c r="C12" s="14" t="s">
        <v>32</v>
      </c>
      <c r="D12" s="14" t="s">
        <v>12</v>
      </c>
      <c r="E12" s="14" t="s">
        <v>33</v>
      </c>
      <c r="F12" s="14" t="s">
        <v>83</v>
      </c>
      <c r="G12" s="19"/>
      <c r="H12" s="19"/>
      <c r="I12" s="20"/>
      <c r="J12" s="19"/>
    </row>
    <row r="13" customFormat="false" ht="23.85" hidden="false" customHeight="false" outlineLevel="0" collapsed="false">
      <c r="A13" s="14" t="s">
        <v>86</v>
      </c>
      <c r="B13" s="14" t="s">
        <v>87</v>
      </c>
      <c r="C13" s="14" t="s">
        <v>26</v>
      </c>
      <c r="D13" s="14" t="s">
        <v>12</v>
      </c>
      <c r="E13" s="14" t="s">
        <v>27</v>
      </c>
      <c r="F13" s="14" t="s">
        <v>90</v>
      </c>
      <c r="G13" s="19"/>
      <c r="H13" s="19"/>
      <c r="I13" s="20"/>
      <c r="J13" s="19"/>
    </row>
    <row r="14" customFormat="false" ht="23.85" hidden="false" customHeight="false" outlineLevel="0" collapsed="false">
      <c r="A14" s="14" t="s">
        <v>91</v>
      </c>
      <c r="B14" s="14" t="s">
        <v>92</v>
      </c>
      <c r="C14" s="14" t="s">
        <v>26</v>
      </c>
      <c r="D14" s="14" t="s">
        <v>12</v>
      </c>
      <c r="E14" s="14" t="s">
        <v>27</v>
      </c>
      <c r="F14" s="14" t="s">
        <v>90</v>
      </c>
      <c r="G14" s="19"/>
      <c r="H14" s="19"/>
      <c r="I14" s="20"/>
      <c r="J14" s="19"/>
    </row>
    <row r="15" customFormat="false" ht="23.85" hidden="false" customHeight="false" outlineLevel="0" collapsed="false">
      <c r="A15" s="14" t="s">
        <v>94</v>
      </c>
      <c r="B15" s="14" t="s">
        <v>95</v>
      </c>
      <c r="C15" s="14" t="s">
        <v>26</v>
      </c>
      <c r="D15" s="14" t="s">
        <v>12</v>
      </c>
      <c r="E15" s="14" t="s">
        <v>27</v>
      </c>
      <c r="F15" s="14" t="s">
        <v>90</v>
      </c>
      <c r="G15" s="19"/>
      <c r="H15" s="19"/>
      <c r="I15" s="20"/>
      <c r="J15" s="19"/>
    </row>
    <row r="16" customFormat="false" ht="23.85" hidden="false" customHeight="false" outlineLevel="0" collapsed="false">
      <c r="A16" s="14" t="s">
        <v>99</v>
      </c>
      <c r="B16" s="14" t="s">
        <v>100</v>
      </c>
      <c r="C16" s="14" t="s">
        <v>29</v>
      </c>
      <c r="D16" s="14" t="s">
        <v>12</v>
      </c>
      <c r="E16" s="14" t="s">
        <v>30</v>
      </c>
      <c r="F16" s="14" t="s">
        <v>103</v>
      </c>
      <c r="G16" s="19"/>
      <c r="H16" s="19"/>
      <c r="I16" s="20"/>
      <c r="J16" s="19"/>
    </row>
    <row r="17" customFormat="false" ht="23.85" hidden="false" customHeight="false" outlineLevel="0" collapsed="false">
      <c r="A17" s="14" t="s">
        <v>104</v>
      </c>
      <c r="B17" s="14" t="s">
        <v>105</v>
      </c>
      <c r="C17" s="14" t="s">
        <v>26</v>
      </c>
      <c r="D17" s="14" t="s">
        <v>12</v>
      </c>
      <c r="E17" s="14" t="s">
        <v>27</v>
      </c>
      <c r="F17" s="14" t="s">
        <v>90</v>
      </c>
      <c r="G17" s="19"/>
      <c r="H17" s="19"/>
      <c r="I17" s="20"/>
      <c r="J17" s="19"/>
    </row>
    <row r="18" customFormat="false" ht="23.85" hidden="false" customHeight="false" outlineLevel="0" collapsed="false">
      <c r="A18" s="14" t="s">
        <v>108</v>
      </c>
      <c r="B18" s="14" t="s">
        <v>109</v>
      </c>
      <c r="C18" s="14" t="s">
        <v>32</v>
      </c>
      <c r="D18" s="14" t="s">
        <v>12</v>
      </c>
      <c r="E18" s="14" t="s">
        <v>33</v>
      </c>
      <c r="F18" s="14" t="s">
        <v>83</v>
      </c>
      <c r="G18" s="19"/>
      <c r="H18" s="19"/>
      <c r="I18" s="20"/>
      <c r="J18" s="19"/>
    </row>
    <row r="19" customFormat="false" ht="23.85" hidden="false" customHeight="false" outlineLevel="0" collapsed="false">
      <c r="A19" s="14" t="s">
        <v>111</v>
      </c>
      <c r="B19" s="14" t="s">
        <v>112</v>
      </c>
      <c r="C19" s="14" t="s">
        <v>32</v>
      </c>
      <c r="D19" s="14" t="s">
        <v>12</v>
      </c>
      <c r="E19" s="14" t="s">
        <v>33</v>
      </c>
      <c r="F19" s="14" t="s">
        <v>83</v>
      </c>
      <c r="G19" s="19"/>
      <c r="H19" s="19"/>
      <c r="I19" s="20"/>
      <c r="J19" s="19"/>
    </row>
    <row r="20" customFormat="false" ht="23.85" hidden="false" customHeight="false" outlineLevel="0" collapsed="false">
      <c r="A20" s="14" t="s">
        <v>114</v>
      </c>
      <c r="B20" s="14" t="s">
        <v>115</v>
      </c>
      <c r="C20" s="14" t="s">
        <v>26</v>
      </c>
      <c r="D20" s="14" t="s">
        <v>12</v>
      </c>
      <c r="E20" s="14" t="s">
        <v>27</v>
      </c>
      <c r="F20" s="14" t="s">
        <v>90</v>
      </c>
      <c r="G20" s="19"/>
      <c r="H20" s="19"/>
      <c r="I20" s="20"/>
      <c r="J20" s="19"/>
    </row>
    <row r="21" customFormat="false" ht="23.85" hidden="false" customHeight="false" outlineLevel="0" collapsed="false">
      <c r="A21" s="14" t="s">
        <v>118</v>
      </c>
      <c r="B21" s="14" t="s">
        <v>119</v>
      </c>
      <c r="C21" s="14" t="s">
        <v>29</v>
      </c>
      <c r="D21" s="14" t="s">
        <v>12</v>
      </c>
      <c r="E21" s="14" t="s">
        <v>30</v>
      </c>
      <c r="F21" s="14" t="s">
        <v>103</v>
      </c>
      <c r="G21" s="19"/>
      <c r="H21" s="19"/>
      <c r="I21" s="20"/>
      <c r="J21" s="19"/>
    </row>
    <row r="22" customFormat="false" ht="23.85" hidden="false" customHeight="false" outlineLevel="0" collapsed="false">
      <c r="A22" s="14" t="s">
        <v>122</v>
      </c>
      <c r="B22" s="14" t="s">
        <v>123</v>
      </c>
      <c r="C22" s="14" t="s">
        <v>29</v>
      </c>
      <c r="D22" s="14" t="s">
        <v>12</v>
      </c>
      <c r="E22" s="14" t="s">
        <v>30</v>
      </c>
      <c r="F22" s="14" t="s">
        <v>103</v>
      </c>
      <c r="G22" s="19"/>
      <c r="H22" s="19"/>
      <c r="I22" s="20"/>
      <c r="J22" s="19"/>
    </row>
    <row r="23" customFormat="false" ht="23.85" hidden="false" customHeight="false" outlineLevel="0" collapsed="false">
      <c r="A23" s="14" t="s">
        <v>125</v>
      </c>
      <c r="B23" s="14" t="s">
        <v>126</v>
      </c>
      <c r="C23" s="14" t="s">
        <v>26</v>
      </c>
      <c r="D23" s="14" t="s">
        <v>12</v>
      </c>
      <c r="E23" s="14" t="s">
        <v>27</v>
      </c>
      <c r="F23" s="14" t="s">
        <v>90</v>
      </c>
      <c r="G23" s="19"/>
      <c r="H23" s="19"/>
      <c r="I23" s="20"/>
      <c r="J23" s="19"/>
    </row>
    <row r="24" customFormat="false" ht="23.85" hidden="false" customHeight="false" outlineLevel="0" collapsed="false">
      <c r="A24" s="14" t="s">
        <v>129</v>
      </c>
      <c r="B24" s="14" t="s">
        <v>130</v>
      </c>
      <c r="C24" s="14" t="s">
        <v>26</v>
      </c>
      <c r="D24" s="14" t="s">
        <v>12</v>
      </c>
      <c r="E24" s="14" t="s">
        <v>27</v>
      </c>
      <c r="F24" s="14" t="s">
        <v>90</v>
      </c>
      <c r="G24" s="19"/>
      <c r="H24" s="19"/>
      <c r="I24" s="20"/>
      <c r="J24" s="19"/>
    </row>
    <row r="25" customFormat="false" ht="23.85" hidden="false" customHeight="false" outlineLevel="0" collapsed="false">
      <c r="A25" s="14" t="s">
        <v>133</v>
      </c>
      <c r="B25" s="14" t="s">
        <v>134</v>
      </c>
      <c r="C25" s="14" t="s">
        <v>29</v>
      </c>
      <c r="D25" s="14" t="s">
        <v>12</v>
      </c>
      <c r="E25" s="14" t="s">
        <v>30</v>
      </c>
      <c r="F25" s="14" t="s">
        <v>103</v>
      </c>
      <c r="G25" s="19"/>
      <c r="H25" s="19"/>
      <c r="I25" s="20"/>
      <c r="J25" s="19"/>
    </row>
    <row r="26" customFormat="false" ht="23.85" hidden="false" customHeight="false" outlineLevel="0" collapsed="false">
      <c r="A26" s="14" t="s">
        <v>136</v>
      </c>
      <c r="B26" s="14" t="s">
        <v>137</v>
      </c>
      <c r="C26" s="14" t="s">
        <v>26</v>
      </c>
      <c r="D26" s="14" t="s">
        <v>12</v>
      </c>
      <c r="E26" s="14" t="s">
        <v>27</v>
      </c>
      <c r="F26" s="14" t="s">
        <v>90</v>
      </c>
      <c r="G26" s="19"/>
      <c r="H26" s="19"/>
      <c r="I26" s="20"/>
      <c r="J26" s="19"/>
    </row>
    <row r="27" customFormat="false" ht="23.85" hidden="false" customHeight="false" outlineLevel="0" collapsed="false">
      <c r="A27" s="14" t="s">
        <v>140</v>
      </c>
      <c r="B27" s="14" t="s">
        <v>141</v>
      </c>
      <c r="C27" s="14" t="s">
        <v>32</v>
      </c>
      <c r="D27" s="14" t="s">
        <v>12</v>
      </c>
      <c r="E27" s="14" t="s">
        <v>33</v>
      </c>
      <c r="F27" s="14" t="s">
        <v>83</v>
      </c>
      <c r="G27" s="19"/>
      <c r="H27" s="19"/>
      <c r="I27" s="20"/>
      <c r="J27" s="19"/>
    </row>
    <row r="28" customFormat="false" ht="23.85" hidden="false" customHeight="false" outlineLevel="0" collapsed="false">
      <c r="A28" s="14" t="s">
        <v>142</v>
      </c>
      <c r="B28" s="14" t="s">
        <v>143</v>
      </c>
      <c r="C28" s="14" t="s">
        <v>32</v>
      </c>
      <c r="D28" s="14" t="s">
        <v>12</v>
      </c>
      <c r="E28" s="14" t="s">
        <v>33</v>
      </c>
      <c r="F28" s="14" t="s">
        <v>83</v>
      </c>
      <c r="G28" s="19"/>
      <c r="H28" s="19"/>
      <c r="I28" s="20"/>
      <c r="J28" s="19"/>
    </row>
    <row r="29" customFormat="false" ht="23.85" hidden="false" customHeight="false" outlineLevel="0" collapsed="false">
      <c r="A29" s="14" t="s">
        <v>144</v>
      </c>
      <c r="B29" s="14" t="s">
        <v>145</v>
      </c>
      <c r="C29" s="14" t="s">
        <v>26</v>
      </c>
      <c r="D29" s="14" t="s">
        <v>12</v>
      </c>
      <c r="E29" s="14" t="s">
        <v>27</v>
      </c>
      <c r="F29" s="14" t="s">
        <v>90</v>
      </c>
      <c r="G29" s="19"/>
      <c r="H29" s="19"/>
      <c r="I29" s="20"/>
      <c r="J29" s="19"/>
    </row>
    <row r="30" customFormat="false" ht="23.85" hidden="false" customHeight="false" outlineLevel="0" collapsed="false">
      <c r="A30" s="14" t="s">
        <v>147</v>
      </c>
      <c r="B30" s="14" t="s">
        <v>148</v>
      </c>
      <c r="C30" s="14" t="s">
        <v>26</v>
      </c>
      <c r="D30" s="14" t="s">
        <v>12</v>
      </c>
      <c r="E30" s="14" t="s">
        <v>27</v>
      </c>
      <c r="F30" s="14" t="s">
        <v>90</v>
      </c>
      <c r="G30" s="19"/>
      <c r="H30" s="19"/>
      <c r="I30" s="20"/>
      <c r="J30" s="19"/>
    </row>
    <row r="31" customFormat="false" ht="23.85" hidden="false" customHeight="false" outlineLevel="0" collapsed="false">
      <c r="A31" s="14" t="s">
        <v>151</v>
      </c>
      <c r="B31" s="14" t="s">
        <v>152</v>
      </c>
      <c r="C31" s="14" t="s">
        <v>29</v>
      </c>
      <c r="D31" s="14" t="s">
        <v>12</v>
      </c>
      <c r="E31" s="14" t="s">
        <v>30</v>
      </c>
      <c r="F31" s="14" t="s">
        <v>103</v>
      </c>
      <c r="G31" s="19"/>
      <c r="H31" s="19"/>
      <c r="I31" s="20"/>
      <c r="J31" s="19"/>
    </row>
    <row r="32" customFormat="false" ht="23.85" hidden="false" customHeight="false" outlineLevel="0" collapsed="false">
      <c r="A32" s="14" t="s">
        <v>154</v>
      </c>
      <c r="B32" s="14" t="s">
        <v>155</v>
      </c>
      <c r="C32" s="14" t="s">
        <v>29</v>
      </c>
      <c r="D32" s="14" t="s">
        <v>12</v>
      </c>
      <c r="E32" s="14" t="s">
        <v>30</v>
      </c>
      <c r="F32" s="14" t="s">
        <v>103</v>
      </c>
      <c r="G32" s="19"/>
      <c r="H32" s="19"/>
      <c r="I32" s="20"/>
      <c r="J32" s="19"/>
    </row>
    <row r="33" customFormat="false" ht="23.85" hidden="false" customHeight="false" outlineLevel="0" collapsed="false">
      <c r="A33" s="14" t="s">
        <v>157</v>
      </c>
      <c r="B33" s="14" t="s">
        <v>158</v>
      </c>
      <c r="C33" s="14" t="s">
        <v>38</v>
      </c>
      <c r="D33" s="14" t="s">
        <v>12</v>
      </c>
      <c r="E33" s="14" t="s">
        <v>39</v>
      </c>
      <c r="F33" s="14" t="s">
        <v>161</v>
      </c>
      <c r="G33" s="19"/>
      <c r="H33" s="19"/>
      <c r="I33" s="20"/>
      <c r="J33" s="19"/>
    </row>
    <row r="34" customFormat="false" ht="23.85" hidden="false" customHeight="false" outlineLevel="0" collapsed="false">
      <c r="A34" s="14" t="s">
        <v>162</v>
      </c>
      <c r="B34" s="14" t="s">
        <v>163</v>
      </c>
      <c r="C34" s="14" t="s">
        <v>38</v>
      </c>
      <c r="D34" s="14" t="s">
        <v>12</v>
      </c>
      <c r="E34" s="14" t="s">
        <v>39</v>
      </c>
      <c r="F34" s="14" t="s">
        <v>161</v>
      </c>
      <c r="G34" s="19"/>
      <c r="H34" s="19"/>
      <c r="I34" s="20"/>
      <c r="J34" s="19"/>
    </row>
    <row r="35" customFormat="false" ht="23.85" hidden="false" customHeight="false" outlineLevel="0" collapsed="false">
      <c r="A35" s="14" t="s">
        <v>164</v>
      </c>
      <c r="B35" s="14" t="s">
        <v>165</v>
      </c>
      <c r="C35" s="14" t="s">
        <v>38</v>
      </c>
      <c r="D35" s="14" t="s">
        <v>12</v>
      </c>
      <c r="E35" s="14" t="s">
        <v>39</v>
      </c>
      <c r="F35" s="14" t="s">
        <v>161</v>
      </c>
      <c r="G35" s="19"/>
      <c r="H35" s="19"/>
      <c r="I35" s="20"/>
      <c r="J35" s="19"/>
    </row>
    <row r="36" customFormat="false" ht="23.85" hidden="false" customHeight="false" outlineLevel="0" collapsed="false">
      <c r="A36" s="14" t="s">
        <v>166</v>
      </c>
      <c r="B36" s="14" t="s">
        <v>167</v>
      </c>
      <c r="C36" s="14" t="s">
        <v>38</v>
      </c>
      <c r="D36" s="14" t="s">
        <v>12</v>
      </c>
      <c r="E36" s="14" t="s">
        <v>39</v>
      </c>
      <c r="F36" s="14" t="s">
        <v>161</v>
      </c>
      <c r="G36" s="19"/>
      <c r="H36" s="19"/>
      <c r="I36" s="20"/>
      <c r="J36" s="19"/>
    </row>
    <row r="37" customFormat="false" ht="23.85" hidden="false" customHeight="false" outlineLevel="0" collapsed="false">
      <c r="A37" s="14" t="s">
        <v>168</v>
      </c>
      <c r="B37" s="14" t="s">
        <v>169</v>
      </c>
      <c r="C37" s="14" t="s">
        <v>38</v>
      </c>
      <c r="D37" s="14" t="s">
        <v>12</v>
      </c>
      <c r="E37" s="14" t="s">
        <v>39</v>
      </c>
      <c r="F37" s="14" t="s">
        <v>161</v>
      </c>
      <c r="G37" s="19"/>
      <c r="H37" s="19"/>
      <c r="I37" s="20"/>
      <c r="J37" s="19"/>
    </row>
    <row r="38" customFormat="false" ht="23.85" hidden="false" customHeight="false" outlineLevel="0" collapsed="false">
      <c r="A38" s="14" t="s">
        <v>170</v>
      </c>
      <c r="B38" s="14" t="s">
        <v>171</v>
      </c>
      <c r="C38" s="14" t="s">
        <v>38</v>
      </c>
      <c r="D38" s="14" t="s">
        <v>12</v>
      </c>
      <c r="E38" s="14" t="s">
        <v>39</v>
      </c>
      <c r="F38" s="14" t="s">
        <v>161</v>
      </c>
      <c r="G38" s="19"/>
      <c r="H38" s="19"/>
      <c r="I38" s="20"/>
      <c r="J38" s="19"/>
    </row>
    <row r="39" customFormat="false" ht="23.85" hidden="false" customHeight="false" outlineLevel="0" collapsed="false">
      <c r="A39" s="14" t="s">
        <v>172</v>
      </c>
      <c r="B39" s="14" t="s">
        <v>173</v>
      </c>
      <c r="C39" s="14" t="s">
        <v>29</v>
      </c>
      <c r="D39" s="14" t="s">
        <v>12</v>
      </c>
      <c r="E39" s="14" t="s">
        <v>30</v>
      </c>
      <c r="F39" s="14" t="s">
        <v>103</v>
      </c>
      <c r="G39" s="19"/>
      <c r="H39" s="19"/>
      <c r="I39" s="20"/>
      <c r="J39" s="19"/>
    </row>
    <row r="40" customFormat="false" ht="23.85" hidden="false" customHeight="false" outlineLevel="0" collapsed="false">
      <c r="A40" s="14" t="s">
        <v>174</v>
      </c>
      <c r="B40" s="14" t="s">
        <v>175</v>
      </c>
      <c r="C40" s="14" t="s">
        <v>29</v>
      </c>
      <c r="D40" s="14" t="s">
        <v>12</v>
      </c>
      <c r="E40" s="14" t="s">
        <v>30</v>
      </c>
      <c r="F40" s="14" t="s">
        <v>103</v>
      </c>
      <c r="G40" s="19"/>
      <c r="H40" s="19"/>
      <c r="I40" s="20"/>
      <c r="J40" s="19"/>
    </row>
    <row r="41" customFormat="false" ht="23.85" hidden="false" customHeight="false" outlineLevel="0" collapsed="false">
      <c r="A41" s="14" t="s">
        <v>176</v>
      </c>
      <c r="B41" s="14" t="s">
        <v>177</v>
      </c>
      <c r="C41" s="14" t="s">
        <v>41</v>
      </c>
      <c r="D41" s="14" t="s">
        <v>13</v>
      </c>
      <c r="E41" s="14" t="s">
        <v>42</v>
      </c>
      <c r="F41" s="14" t="s">
        <v>180</v>
      </c>
      <c r="G41" s="19"/>
      <c r="H41" s="19"/>
      <c r="I41" s="20"/>
      <c r="J41" s="19"/>
    </row>
    <row r="42" customFormat="false" ht="23.85" hidden="false" customHeight="false" outlineLevel="0" collapsed="false">
      <c r="A42" s="14" t="s">
        <v>181</v>
      </c>
      <c r="B42" s="14" t="s">
        <v>182</v>
      </c>
      <c r="C42" s="14" t="s">
        <v>35</v>
      </c>
      <c r="D42" s="14" t="s">
        <v>13</v>
      </c>
      <c r="E42" s="14" t="s">
        <v>36</v>
      </c>
      <c r="F42" s="14" t="s">
        <v>185</v>
      </c>
      <c r="G42" s="19"/>
      <c r="H42" s="19"/>
      <c r="I42" s="20"/>
      <c r="J42" s="19"/>
    </row>
    <row r="43" customFormat="false" ht="23.85" hidden="false" customHeight="false" outlineLevel="0" collapsed="false">
      <c r="A43" s="14" t="s">
        <v>186</v>
      </c>
      <c r="B43" s="14" t="s">
        <v>187</v>
      </c>
      <c r="C43" s="14" t="s">
        <v>20</v>
      </c>
      <c r="D43" s="14" t="s">
        <v>13</v>
      </c>
      <c r="E43" s="14" t="s">
        <v>21</v>
      </c>
      <c r="F43" s="14" t="s">
        <v>189</v>
      </c>
      <c r="G43" s="19"/>
      <c r="H43" s="19"/>
      <c r="I43" s="20"/>
      <c r="J43" s="19"/>
    </row>
    <row r="44" customFormat="false" ht="23.85" hidden="false" customHeight="false" outlineLevel="0" collapsed="false">
      <c r="A44" s="14" t="s">
        <v>190</v>
      </c>
      <c r="B44" s="14" t="s">
        <v>191</v>
      </c>
      <c r="C44" s="14" t="s">
        <v>20</v>
      </c>
      <c r="D44" s="14" t="s">
        <v>13</v>
      </c>
      <c r="E44" s="14" t="s">
        <v>21</v>
      </c>
      <c r="F44" s="14" t="s">
        <v>189</v>
      </c>
      <c r="G44" s="19"/>
      <c r="H44" s="19"/>
      <c r="I44" s="20"/>
      <c r="J44" s="19"/>
    </row>
    <row r="45" customFormat="false" ht="23.85" hidden="false" customHeight="false" outlineLevel="0" collapsed="false">
      <c r="A45" s="14" t="s">
        <v>194</v>
      </c>
      <c r="B45" s="14" t="s">
        <v>195</v>
      </c>
      <c r="C45" s="14" t="s">
        <v>35</v>
      </c>
      <c r="D45" s="14" t="s">
        <v>13</v>
      </c>
      <c r="E45" s="14" t="s">
        <v>36</v>
      </c>
      <c r="F45" s="14" t="s">
        <v>185</v>
      </c>
      <c r="G45" s="19"/>
      <c r="H45" s="19"/>
      <c r="I45" s="20"/>
      <c r="J45" s="19"/>
    </row>
    <row r="46" customFormat="false" ht="23.85" hidden="false" customHeight="false" outlineLevel="0" collapsed="false">
      <c r="A46" s="14" t="s">
        <v>196</v>
      </c>
      <c r="B46" s="14" t="s">
        <v>197</v>
      </c>
      <c r="C46" s="14" t="s">
        <v>41</v>
      </c>
      <c r="D46" s="14" t="s">
        <v>13</v>
      </c>
      <c r="E46" s="14" t="s">
        <v>42</v>
      </c>
      <c r="F46" s="14" t="s">
        <v>180</v>
      </c>
      <c r="G46" s="19"/>
      <c r="H46" s="19"/>
      <c r="I46" s="20"/>
      <c r="J46" s="19"/>
    </row>
    <row r="47" customFormat="false" ht="23.85" hidden="false" customHeight="false" outlineLevel="0" collapsed="false">
      <c r="A47" s="14" t="s">
        <v>198</v>
      </c>
      <c r="B47" s="14" t="s">
        <v>199</v>
      </c>
      <c r="C47" s="14" t="s">
        <v>35</v>
      </c>
      <c r="D47" s="14" t="s">
        <v>13</v>
      </c>
      <c r="E47" s="14" t="s">
        <v>36</v>
      </c>
      <c r="F47" s="14" t="s">
        <v>185</v>
      </c>
      <c r="G47" s="19"/>
      <c r="H47" s="19"/>
      <c r="I47" s="20"/>
      <c r="J47" s="19"/>
    </row>
    <row r="48" customFormat="false" ht="23.85" hidden="false" customHeight="false" outlineLevel="0" collapsed="false">
      <c r="A48" s="14" t="s">
        <v>200</v>
      </c>
      <c r="B48" s="14" t="s">
        <v>201</v>
      </c>
      <c r="C48" s="14" t="s">
        <v>41</v>
      </c>
      <c r="D48" s="14" t="s">
        <v>13</v>
      </c>
      <c r="E48" s="14" t="s">
        <v>42</v>
      </c>
      <c r="F48" s="14" t="s">
        <v>180</v>
      </c>
      <c r="G48" s="19"/>
      <c r="H48" s="19"/>
      <c r="I48" s="20"/>
      <c r="J48" s="19"/>
    </row>
    <row r="49" customFormat="false" ht="23.85" hidden="false" customHeight="false" outlineLevel="0" collapsed="false">
      <c r="A49" s="14" t="s">
        <v>202</v>
      </c>
      <c r="B49" s="14" t="s">
        <v>203</v>
      </c>
      <c r="C49" s="14" t="s">
        <v>35</v>
      </c>
      <c r="D49" s="14" t="s">
        <v>13</v>
      </c>
      <c r="E49" s="14" t="s">
        <v>36</v>
      </c>
      <c r="F49" s="14" t="s">
        <v>185</v>
      </c>
      <c r="G49" s="19"/>
      <c r="H49" s="19"/>
      <c r="I49" s="20"/>
      <c r="J49" s="19"/>
    </row>
    <row r="50" customFormat="false" ht="23.85" hidden="false" customHeight="false" outlineLevel="0" collapsed="false">
      <c r="A50" s="14" t="s">
        <v>204</v>
      </c>
      <c r="B50" s="14" t="s">
        <v>205</v>
      </c>
      <c r="C50" s="14" t="s">
        <v>20</v>
      </c>
      <c r="D50" s="14" t="s">
        <v>13</v>
      </c>
      <c r="E50" s="14" t="s">
        <v>21</v>
      </c>
      <c r="F50" s="14" t="s">
        <v>189</v>
      </c>
      <c r="G50" s="19"/>
      <c r="H50" s="19"/>
      <c r="I50" s="20"/>
      <c r="J50" s="19"/>
    </row>
    <row r="51" customFormat="false" ht="23.85" hidden="false" customHeight="false" outlineLevel="0" collapsed="false">
      <c r="A51" s="14" t="s">
        <v>208</v>
      </c>
      <c r="B51" s="14" t="s">
        <v>209</v>
      </c>
      <c r="C51" s="14" t="s">
        <v>35</v>
      </c>
      <c r="D51" s="14" t="s">
        <v>13</v>
      </c>
      <c r="E51" s="14" t="s">
        <v>36</v>
      </c>
      <c r="F51" s="14" t="s">
        <v>185</v>
      </c>
      <c r="G51" s="19"/>
      <c r="H51" s="19"/>
      <c r="I51" s="20"/>
      <c r="J51" s="19"/>
    </row>
    <row r="52" customFormat="false" ht="23.85" hidden="false" customHeight="false" outlineLevel="0" collapsed="false">
      <c r="A52" s="14" t="s">
        <v>210</v>
      </c>
      <c r="B52" s="14" t="s">
        <v>211</v>
      </c>
      <c r="C52" s="14" t="s">
        <v>20</v>
      </c>
      <c r="D52" s="14" t="s">
        <v>13</v>
      </c>
      <c r="E52" s="14" t="s">
        <v>21</v>
      </c>
      <c r="F52" s="14" t="s">
        <v>189</v>
      </c>
      <c r="G52" s="19"/>
      <c r="H52" s="19"/>
      <c r="I52" s="20"/>
      <c r="J52" s="19"/>
    </row>
    <row r="53" customFormat="false" ht="23.85" hidden="false" customHeight="false" outlineLevel="0" collapsed="false">
      <c r="A53" s="14" t="s">
        <v>213</v>
      </c>
      <c r="B53" s="14" t="s">
        <v>67</v>
      </c>
      <c r="C53" s="14" t="s">
        <v>20</v>
      </c>
      <c r="D53" s="14" t="s">
        <v>13</v>
      </c>
      <c r="E53" s="14" t="s">
        <v>21</v>
      </c>
      <c r="F53" s="14" t="s">
        <v>189</v>
      </c>
      <c r="G53" s="19"/>
      <c r="H53" s="19"/>
      <c r="I53" s="20"/>
      <c r="J53" s="19"/>
    </row>
    <row r="54" customFormat="false" ht="23.85" hidden="false" customHeight="false" outlineLevel="0" collapsed="false">
      <c r="A54" s="14" t="s">
        <v>215</v>
      </c>
      <c r="B54" s="14" t="s">
        <v>216</v>
      </c>
      <c r="C54" s="14" t="s">
        <v>35</v>
      </c>
      <c r="D54" s="14" t="s">
        <v>13</v>
      </c>
      <c r="E54" s="14" t="s">
        <v>36</v>
      </c>
      <c r="F54" s="14" t="s">
        <v>185</v>
      </c>
      <c r="G54" s="19"/>
      <c r="H54" s="19"/>
      <c r="I54" s="20"/>
      <c r="J54" s="19"/>
    </row>
    <row r="55" customFormat="false" ht="23.85" hidden="false" customHeight="false" outlineLevel="0" collapsed="false">
      <c r="A55" s="14" t="s">
        <v>217</v>
      </c>
      <c r="B55" s="14" t="s">
        <v>218</v>
      </c>
      <c r="C55" s="14" t="s">
        <v>20</v>
      </c>
      <c r="D55" s="14" t="s">
        <v>13</v>
      </c>
      <c r="E55" s="14" t="s">
        <v>21</v>
      </c>
      <c r="F55" s="14" t="s">
        <v>189</v>
      </c>
      <c r="G55" s="19"/>
      <c r="H55" s="19"/>
      <c r="I55" s="20"/>
      <c r="J55" s="19"/>
    </row>
    <row r="56" customFormat="false" ht="23.85" hidden="false" customHeight="false" outlineLevel="0" collapsed="false">
      <c r="A56" s="14" t="s">
        <v>220</v>
      </c>
      <c r="B56" s="14" t="s">
        <v>221</v>
      </c>
      <c r="C56" s="14" t="s">
        <v>20</v>
      </c>
      <c r="D56" s="14" t="s">
        <v>13</v>
      </c>
      <c r="E56" s="14" t="s">
        <v>21</v>
      </c>
      <c r="F56" s="14" t="s">
        <v>189</v>
      </c>
      <c r="G56" s="19"/>
      <c r="H56" s="19"/>
      <c r="I56" s="20"/>
      <c r="J56" s="19"/>
    </row>
    <row r="57" customFormat="false" ht="23.85" hidden="false" customHeight="false" outlineLevel="0" collapsed="false">
      <c r="A57" s="14" t="s">
        <v>223</v>
      </c>
      <c r="B57" s="14" t="s">
        <v>224</v>
      </c>
      <c r="C57" s="14" t="s">
        <v>20</v>
      </c>
      <c r="D57" s="14" t="s">
        <v>13</v>
      </c>
      <c r="E57" s="14" t="s">
        <v>21</v>
      </c>
      <c r="F57" s="14" t="s">
        <v>189</v>
      </c>
      <c r="G57" s="19"/>
      <c r="H57" s="19"/>
      <c r="I57" s="20"/>
      <c r="J57" s="19"/>
    </row>
    <row r="58" customFormat="false" ht="23.85" hidden="false" customHeight="false" outlineLevel="0" collapsed="false">
      <c r="A58" s="14" t="s">
        <v>226</v>
      </c>
      <c r="B58" s="14" t="s">
        <v>227</v>
      </c>
      <c r="C58" s="14" t="s">
        <v>20</v>
      </c>
      <c r="D58" s="14" t="s">
        <v>13</v>
      </c>
      <c r="E58" s="14" t="s">
        <v>21</v>
      </c>
      <c r="F58" s="14" t="s">
        <v>189</v>
      </c>
      <c r="G58" s="19"/>
      <c r="H58" s="19"/>
      <c r="I58" s="20"/>
      <c r="J58" s="19"/>
    </row>
    <row r="59" customFormat="false" ht="23.85" hidden="false" customHeight="false" outlineLevel="0" collapsed="false">
      <c r="A59" s="14" t="s">
        <v>229</v>
      </c>
      <c r="B59" s="14" t="s">
        <v>230</v>
      </c>
      <c r="C59" s="14" t="s">
        <v>35</v>
      </c>
      <c r="D59" s="14" t="s">
        <v>13</v>
      </c>
      <c r="E59" s="14" t="s">
        <v>36</v>
      </c>
      <c r="F59" s="14" t="s">
        <v>185</v>
      </c>
      <c r="G59" s="19"/>
      <c r="H59" s="19"/>
      <c r="I59" s="20"/>
      <c r="J59" s="19"/>
    </row>
    <row r="60" customFormat="false" ht="23.85" hidden="false" customHeight="false" outlineLevel="0" collapsed="false">
      <c r="A60" s="14" t="s">
        <v>231</v>
      </c>
      <c r="B60" s="14" t="s">
        <v>232</v>
      </c>
      <c r="C60" s="14" t="s">
        <v>20</v>
      </c>
      <c r="D60" s="14" t="s">
        <v>13</v>
      </c>
      <c r="E60" s="14" t="s">
        <v>21</v>
      </c>
      <c r="F60" s="14" t="s">
        <v>189</v>
      </c>
      <c r="G60" s="19"/>
      <c r="H60" s="19"/>
      <c r="I60" s="20"/>
      <c r="J60" s="19"/>
    </row>
    <row r="61" customFormat="false" ht="23.85" hidden="false" customHeight="false" outlineLevel="0" collapsed="false">
      <c r="A61" s="14" t="s">
        <v>234</v>
      </c>
      <c r="B61" s="14" t="s">
        <v>235</v>
      </c>
      <c r="C61" s="14" t="s">
        <v>41</v>
      </c>
      <c r="D61" s="14" t="s">
        <v>13</v>
      </c>
      <c r="E61" s="14" t="s">
        <v>42</v>
      </c>
      <c r="F61" s="14" t="s">
        <v>180</v>
      </c>
      <c r="G61" s="19"/>
      <c r="H61" s="19"/>
      <c r="I61" s="20"/>
      <c r="J61" s="19"/>
    </row>
    <row r="62" customFormat="false" ht="23.85" hidden="false" customHeight="false" outlineLevel="0" collapsed="false">
      <c r="A62" s="14" t="s">
        <v>236</v>
      </c>
      <c r="B62" s="14" t="s">
        <v>237</v>
      </c>
      <c r="C62" s="14" t="s">
        <v>20</v>
      </c>
      <c r="D62" s="14" t="s">
        <v>13</v>
      </c>
      <c r="E62" s="14" t="s">
        <v>21</v>
      </c>
      <c r="F62" s="14" t="s">
        <v>189</v>
      </c>
      <c r="G62" s="19"/>
      <c r="H62" s="19"/>
      <c r="I62" s="20"/>
      <c r="J62" s="19"/>
    </row>
    <row r="63" customFormat="false" ht="23.85" hidden="false" customHeight="false" outlineLevel="0" collapsed="false">
      <c r="A63" s="14" t="s">
        <v>239</v>
      </c>
      <c r="B63" s="14" t="s">
        <v>240</v>
      </c>
      <c r="C63" s="14" t="s">
        <v>20</v>
      </c>
      <c r="D63" s="14" t="s">
        <v>13</v>
      </c>
      <c r="E63" s="14" t="s">
        <v>21</v>
      </c>
      <c r="F63" s="14" t="s">
        <v>189</v>
      </c>
      <c r="G63" s="19"/>
      <c r="H63" s="19"/>
      <c r="I63" s="20"/>
      <c r="J63" s="19"/>
    </row>
    <row r="64" customFormat="false" ht="23.85" hidden="false" customHeight="false" outlineLevel="0" collapsed="false">
      <c r="A64" s="14" t="s">
        <v>242</v>
      </c>
      <c r="B64" s="14" t="s">
        <v>243</v>
      </c>
      <c r="C64" s="14" t="s">
        <v>20</v>
      </c>
      <c r="D64" s="14" t="s">
        <v>13</v>
      </c>
      <c r="E64" s="14" t="s">
        <v>21</v>
      </c>
      <c r="F64" s="14" t="s">
        <v>189</v>
      </c>
      <c r="G64" s="19"/>
      <c r="H64" s="19"/>
      <c r="I64" s="20"/>
      <c r="J64" s="19"/>
    </row>
  </sheetData>
  <autoFilter ref="A4:J64"/>
  <dataValidations count="1">
    <dataValidation allowBlank="true" errorStyle="stop" operator="between" showDropDown="false" showErrorMessage="false" showInputMessage="false" sqref="G5:G64" type="list">
      <formula1>"Approve,Revoke,Exception"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2026-10-13T00:35:43Z</dcterms:created>
  <dc:creator>openpyxl</dc:creator>
  <dc:description/>
  <dc:language>en-US</dc:language>
  <cp:lastModifiedBy/>
  <dcterms:modified xsi:type="dcterms:W3CDTF">2026-10-13T00:35:51Z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